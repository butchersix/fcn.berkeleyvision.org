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 Ann\Documents\GitHub\Ground-Truth\"/>
    </mc:Choice>
  </mc:AlternateContent>
  <xr:revisionPtr revIDLastSave="0" documentId="13_ncr:1_{37C8C3AF-6EF8-4CBF-B0BD-C759DAB79367}" xr6:coauthVersionLast="37" xr6:coauthVersionMax="37" xr10:uidLastSave="{00000000-0000-0000-0000-000000000000}"/>
  <bookViews>
    <workbookView xWindow="0" yWindow="0" windowWidth="21570" windowHeight="8430" xr2:uid="{901E5845-AB89-4EA1-B859-AA232A1BEAAC}"/>
  </bookViews>
  <sheets>
    <sheet name="Labeled Data" sheetId="1" r:id="rId1"/>
    <sheet name="Output Summary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46" i="1" l="1"/>
  <c r="M346" i="1"/>
  <c r="N346" i="1"/>
  <c r="O346" i="1"/>
  <c r="P346" i="1"/>
  <c r="Q346" i="1"/>
  <c r="R346" i="1"/>
  <c r="S346" i="1"/>
  <c r="T346" i="1"/>
  <c r="L347" i="1"/>
  <c r="M347" i="1"/>
  <c r="N347" i="1"/>
  <c r="O347" i="1"/>
  <c r="P347" i="1"/>
  <c r="Q347" i="1"/>
  <c r="R347" i="1"/>
  <c r="S347" i="1"/>
  <c r="T347" i="1"/>
  <c r="L348" i="1"/>
  <c r="M348" i="1"/>
  <c r="N348" i="1"/>
  <c r="O348" i="1"/>
  <c r="P348" i="1"/>
  <c r="Q348" i="1"/>
  <c r="R348" i="1"/>
  <c r="S348" i="1"/>
  <c r="T348" i="1"/>
  <c r="L349" i="1"/>
  <c r="M349" i="1"/>
  <c r="N349" i="1"/>
  <c r="O349" i="1"/>
  <c r="P349" i="1"/>
  <c r="Q349" i="1"/>
  <c r="R349" i="1"/>
  <c r="S349" i="1"/>
  <c r="T349" i="1"/>
  <c r="L350" i="1"/>
  <c r="M350" i="1"/>
  <c r="N350" i="1"/>
  <c r="O350" i="1"/>
  <c r="P350" i="1"/>
  <c r="Q350" i="1"/>
  <c r="R350" i="1"/>
  <c r="S350" i="1"/>
  <c r="T350" i="1"/>
  <c r="L351" i="1"/>
  <c r="M351" i="1"/>
  <c r="N351" i="1"/>
  <c r="O351" i="1"/>
  <c r="P351" i="1"/>
  <c r="Q351" i="1"/>
  <c r="R351" i="1"/>
  <c r="S351" i="1"/>
  <c r="T351" i="1"/>
  <c r="L352" i="1"/>
  <c r="M352" i="1"/>
  <c r="N352" i="1"/>
  <c r="O352" i="1"/>
  <c r="P352" i="1"/>
  <c r="Q352" i="1"/>
  <c r="R352" i="1"/>
  <c r="S352" i="1"/>
  <c r="T352" i="1"/>
  <c r="L353" i="1"/>
  <c r="M353" i="1"/>
  <c r="N353" i="1"/>
  <c r="O353" i="1"/>
  <c r="P353" i="1"/>
  <c r="Q353" i="1"/>
  <c r="R353" i="1"/>
  <c r="S353" i="1"/>
  <c r="T353" i="1"/>
  <c r="L354" i="1"/>
  <c r="M354" i="1"/>
  <c r="N354" i="1"/>
  <c r="O354" i="1"/>
  <c r="P354" i="1"/>
  <c r="Q354" i="1"/>
  <c r="R354" i="1"/>
  <c r="S354" i="1"/>
  <c r="T354" i="1"/>
  <c r="L355" i="1"/>
  <c r="M355" i="1"/>
  <c r="N355" i="1"/>
  <c r="O355" i="1"/>
  <c r="P355" i="1"/>
  <c r="Q355" i="1"/>
  <c r="R355" i="1"/>
  <c r="S355" i="1"/>
  <c r="T355" i="1"/>
  <c r="L356" i="1"/>
  <c r="M356" i="1"/>
  <c r="N356" i="1"/>
  <c r="O356" i="1"/>
  <c r="P356" i="1"/>
  <c r="Q356" i="1"/>
  <c r="R356" i="1"/>
  <c r="S356" i="1"/>
  <c r="T356" i="1"/>
  <c r="L357" i="1"/>
  <c r="M357" i="1"/>
  <c r="N357" i="1"/>
  <c r="O357" i="1"/>
  <c r="P357" i="1"/>
  <c r="Q357" i="1"/>
  <c r="R357" i="1"/>
  <c r="S357" i="1"/>
  <c r="T357" i="1"/>
  <c r="L358" i="1"/>
  <c r="M358" i="1"/>
  <c r="N358" i="1"/>
  <c r="O358" i="1"/>
  <c r="P358" i="1"/>
  <c r="Q358" i="1"/>
  <c r="R358" i="1"/>
  <c r="S358" i="1"/>
  <c r="T358" i="1"/>
  <c r="L359" i="1"/>
  <c r="M359" i="1"/>
  <c r="N359" i="1"/>
  <c r="O359" i="1"/>
  <c r="P359" i="1"/>
  <c r="Q359" i="1"/>
  <c r="R359" i="1"/>
  <c r="S359" i="1"/>
  <c r="T359" i="1"/>
  <c r="L360" i="1"/>
  <c r="M360" i="1"/>
  <c r="N360" i="1"/>
  <c r="O360" i="1"/>
  <c r="P360" i="1"/>
  <c r="Q360" i="1"/>
  <c r="R360" i="1"/>
  <c r="S360" i="1"/>
  <c r="T360" i="1"/>
  <c r="L361" i="1"/>
  <c r="M361" i="1"/>
  <c r="N361" i="1"/>
  <c r="O361" i="1"/>
  <c r="P361" i="1"/>
  <c r="Q361" i="1"/>
  <c r="R361" i="1"/>
  <c r="S361" i="1"/>
  <c r="T361" i="1"/>
  <c r="L362" i="1"/>
  <c r="M362" i="1"/>
  <c r="N362" i="1"/>
  <c r="O362" i="1"/>
  <c r="P362" i="1"/>
  <c r="Q362" i="1"/>
  <c r="R362" i="1"/>
  <c r="S362" i="1"/>
  <c r="T362" i="1"/>
  <c r="L363" i="1"/>
  <c r="M363" i="1"/>
  <c r="N363" i="1"/>
  <c r="O363" i="1"/>
  <c r="P363" i="1"/>
  <c r="Q363" i="1"/>
  <c r="R363" i="1"/>
  <c r="S363" i="1"/>
  <c r="T363" i="1"/>
  <c r="L364" i="1"/>
  <c r="M364" i="1"/>
  <c r="N364" i="1"/>
  <c r="O364" i="1"/>
  <c r="P364" i="1"/>
  <c r="Q364" i="1"/>
  <c r="R364" i="1"/>
  <c r="S364" i="1"/>
  <c r="T364" i="1"/>
  <c r="L365" i="1"/>
  <c r="M365" i="1"/>
  <c r="N365" i="1"/>
  <c r="O365" i="1"/>
  <c r="P365" i="1"/>
  <c r="Q365" i="1"/>
  <c r="R365" i="1"/>
  <c r="S365" i="1"/>
  <c r="T365" i="1"/>
  <c r="L366" i="1"/>
  <c r="M366" i="1"/>
  <c r="N366" i="1"/>
  <c r="O366" i="1"/>
  <c r="P366" i="1"/>
  <c r="Q366" i="1"/>
  <c r="R366" i="1"/>
  <c r="S366" i="1"/>
  <c r="T366" i="1"/>
  <c r="L367" i="1"/>
  <c r="M367" i="1"/>
  <c r="N367" i="1"/>
  <c r="O367" i="1"/>
  <c r="P367" i="1"/>
  <c r="Q367" i="1"/>
  <c r="R367" i="1"/>
  <c r="S367" i="1"/>
  <c r="T367" i="1"/>
  <c r="L368" i="1"/>
  <c r="M368" i="1"/>
  <c r="N368" i="1"/>
  <c r="O368" i="1"/>
  <c r="P368" i="1"/>
  <c r="Q368" i="1"/>
  <c r="R368" i="1"/>
  <c r="S368" i="1"/>
  <c r="T368" i="1"/>
  <c r="L369" i="1"/>
  <c r="M369" i="1"/>
  <c r="N369" i="1"/>
  <c r="O369" i="1"/>
  <c r="P369" i="1"/>
  <c r="Q369" i="1"/>
  <c r="R369" i="1"/>
  <c r="S369" i="1"/>
  <c r="T369" i="1"/>
  <c r="L370" i="1"/>
  <c r="M370" i="1"/>
  <c r="N370" i="1"/>
  <c r="O370" i="1"/>
  <c r="P370" i="1"/>
  <c r="Q370" i="1"/>
  <c r="R370" i="1"/>
  <c r="S370" i="1"/>
  <c r="T370" i="1"/>
  <c r="L371" i="1"/>
  <c r="M371" i="1"/>
  <c r="N371" i="1"/>
  <c r="O371" i="1"/>
  <c r="P371" i="1"/>
  <c r="Q371" i="1"/>
  <c r="R371" i="1"/>
  <c r="S371" i="1"/>
  <c r="T371" i="1"/>
  <c r="L372" i="1"/>
  <c r="M372" i="1"/>
  <c r="N372" i="1"/>
  <c r="O372" i="1"/>
  <c r="P372" i="1"/>
  <c r="Q372" i="1"/>
  <c r="R372" i="1"/>
  <c r="S372" i="1"/>
  <c r="T372" i="1"/>
  <c r="L373" i="1"/>
  <c r="M373" i="1"/>
  <c r="N373" i="1"/>
  <c r="O373" i="1"/>
  <c r="P373" i="1"/>
  <c r="Q373" i="1"/>
  <c r="R373" i="1"/>
  <c r="S373" i="1"/>
  <c r="T373" i="1"/>
  <c r="L374" i="1"/>
  <c r="M374" i="1"/>
  <c r="N374" i="1"/>
  <c r="O374" i="1"/>
  <c r="P374" i="1"/>
  <c r="Q374" i="1"/>
  <c r="R374" i="1"/>
  <c r="S374" i="1"/>
  <c r="T374" i="1"/>
  <c r="L375" i="1"/>
  <c r="M375" i="1"/>
  <c r="N375" i="1"/>
  <c r="O375" i="1"/>
  <c r="P375" i="1"/>
  <c r="Q375" i="1"/>
  <c r="R375" i="1"/>
  <c r="S375" i="1"/>
  <c r="T375" i="1"/>
  <c r="L376" i="1"/>
  <c r="M376" i="1"/>
  <c r="N376" i="1"/>
  <c r="O376" i="1"/>
  <c r="P376" i="1"/>
  <c r="Q376" i="1"/>
  <c r="R376" i="1"/>
  <c r="S376" i="1"/>
  <c r="T376" i="1"/>
  <c r="L377" i="1"/>
  <c r="M377" i="1"/>
  <c r="N377" i="1"/>
  <c r="O377" i="1"/>
  <c r="P377" i="1"/>
  <c r="Q377" i="1"/>
  <c r="R377" i="1"/>
  <c r="S377" i="1"/>
  <c r="T377" i="1"/>
  <c r="L378" i="1"/>
  <c r="M378" i="1"/>
  <c r="N378" i="1"/>
  <c r="O378" i="1"/>
  <c r="P378" i="1"/>
  <c r="Q378" i="1"/>
  <c r="R378" i="1"/>
  <c r="S378" i="1"/>
  <c r="T378" i="1"/>
  <c r="L379" i="1"/>
  <c r="M379" i="1"/>
  <c r="N379" i="1"/>
  <c r="O379" i="1"/>
  <c r="P379" i="1"/>
  <c r="Q379" i="1"/>
  <c r="R379" i="1"/>
  <c r="S379" i="1"/>
  <c r="T379" i="1"/>
  <c r="L380" i="1"/>
  <c r="M380" i="1"/>
  <c r="N380" i="1"/>
  <c r="O380" i="1"/>
  <c r="P380" i="1"/>
  <c r="Q380" i="1"/>
  <c r="R380" i="1"/>
  <c r="S380" i="1"/>
  <c r="T380" i="1"/>
  <c r="L381" i="1"/>
  <c r="M381" i="1"/>
  <c r="N381" i="1"/>
  <c r="O381" i="1"/>
  <c r="P381" i="1"/>
  <c r="Q381" i="1"/>
  <c r="R381" i="1"/>
  <c r="S381" i="1"/>
  <c r="T381" i="1"/>
  <c r="L382" i="1"/>
  <c r="M382" i="1"/>
  <c r="N382" i="1"/>
  <c r="O382" i="1"/>
  <c r="P382" i="1"/>
  <c r="Q382" i="1"/>
  <c r="R382" i="1"/>
  <c r="S382" i="1"/>
  <c r="T382" i="1"/>
  <c r="L383" i="1"/>
  <c r="M383" i="1"/>
  <c r="N383" i="1"/>
  <c r="O383" i="1"/>
  <c r="P383" i="1"/>
  <c r="Q383" i="1"/>
  <c r="R383" i="1"/>
  <c r="S383" i="1"/>
  <c r="T383" i="1"/>
  <c r="L384" i="1"/>
  <c r="M384" i="1"/>
  <c r="N384" i="1"/>
  <c r="O384" i="1"/>
  <c r="P384" i="1"/>
  <c r="Q384" i="1"/>
  <c r="R384" i="1"/>
  <c r="S384" i="1"/>
  <c r="T384" i="1"/>
  <c r="L385" i="1"/>
  <c r="M385" i="1"/>
  <c r="N385" i="1"/>
  <c r="O385" i="1"/>
  <c r="P385" i="1"/>
  <c r="Q385" i="1"/>
  <c r="R385" i="1"/>
  <c r="S385" i="1"/>
  <c r="T385" i="1"/>
  <c r="L386" i="1"/>
  <c r="M386" i="1"/>
  <c r="N386" i="1"/>
  <c r="O386" i="1"/>
  <c r="P386" i="1"/>
  <c r="Q386" i="1"/>
  <c r="R386" i="1"/>
  <c r="S386" i="1"/>
  <c r="T386" i="1"/>
  <c r="L387" i="1"/>
  <c r="M387" i="1"/>
  <c r="N387" i="1"/>
  <c r="O387" i="1"/>
  <c r="P387" i="1"/>
  <c r="Q387" i="1"/>
  <c r="R387" i="1"/>
  <c r="S387" i="1"/>
  <c r="T387" i="1"/>
  <c r="L388" i="1"/>
  <c r="M388" i="1"/>
  <c r="N388" i="1"/>
  <c r="O388" i="1"/>
  <c r="P388" i="1"/>
  <c r="Q388" i="1"/>
  <c r="R388" i="1"/>
  <c r="S388" i="1"/>
  <c r="T388" i="1"/>
  <c r="L389" i="1"/>
  <c r="M389" i="1"/>
  <c r="N389" i="1"/>
  <c r="O389" i="1"/>
  <c r="P389" i="1"/>
  <c r="Q389" i="1"/>
  <c r="R389" i="1"/>
  <c r="S389" i="1"/>
  <c r="T389" i="1"/>
  <c r="L390" i="1"/>
  <c r="M390" i="1"/>
  <c r="N390" i="1"/>
  <c r="O390" i="1"/>
  <c r="P390" i="1"/>
  <c r="Q390" i="1"/>
  <c r="R390" i="1"/>
  <c r="S390" i="1"/>
  <c r="T390" i="1"/>
  <c r="L391" i="1"/>
  <c r="M391" i="1"/>
  <c r="N391" i="1"/>
  <c r="O391" i="1"/>
  <c r="P391" i="1"/>
  <c r="Q391" i="1"/>
  <c r="R391" i="1"/>
  <c r="S391" i="1"/>
  <c r="T391" i="1"/>
  <c r="L392" i="1"/>
  <c r="M392" i="1"/>
  <c r="N392" i="1"/>
  <c r="O392" i="1"/>
  <c r="P392" i="1"/>
  <c r="Q392" i="1"/>
  <c r="R392" i="1"/>
  <c r="S392" i="1"/>
  <c r="T392" i="1"/>
  <c r="L393" i="1"/>
  <c r="M393" i="1"/>
  <c r="N393" i="1"/>
  <c r="O393" i="1"/>
  <c r="P393" i="1"/>
  <c r="Q393" i="1"/>
  <c r="R393" i="1"/>
  <c r="S393" i="1"/>
  <c r="T393" i="1"/>
  <c r="L394" i="1"/>
  <c r="M394" i="1"/>
  <c r="N394" i="1"/>
  <c r="O394" i="1"/>
  <c r="P394" i="1"/>
  <c r="Q394" i="1"/>
  <c r="R394" i="1"/>
  <c r="S394" i="1"/>
  <c r="T394" i="1"/>
  <c r="L395" i="1"/>
  <c r="M395" i="1"/>
  <c r="N395" i="1"/>
  <c r="O395" i="1"/>
  <c r="P395" i="1"/>
  <c r="Q395" i="1"/>
  <c r="R395" i="1"/>
  <c r="S395" i="1"/>
  <c r="T395" i="1"/>
  <c r="L396" i="1"/>
  <c r="M396" i="1"/>
  <c r="N396" i="1"/>
  <c r="O396" i="1"/>
  <c r="P396" i="1"/>
  <c r="Q396" i="1"/>
  <c r="R396" i="1"/>
  <c r="S396" i="1"/>
  <c r="T396" i="1"/>
  <c r="L397" i="1"/>
  <c r="M397" i="1"/>
  <c r="N397" i="1"/>
  <c r="O397" i="1"/>
  <c r="P397" i="1"/>
  <c r="Q397" i="1"/>
  <c r="R397" i="1"/>
  <c r="S397" i="1"/>
  <c r="T397" i="1"/>
  <c r="L398" i="1"/>
  <c r="M398" i="1"/>
  <c r="N398" i="1"/>
  <c r="O398" i="1"/>
  <c r="P398" i="1"/>
  <c r="Q398" i="1"/>
  <c r="R398" i="1"/>
  <c r="S398" i="1"/>
  <c r="T398" i="1"/>
  <c r="L399" i="1"/>
  <c r="M399" i="1"/>
  <c r="N399" i="1"/>
  <c r="O399" i="1"/>
  <c r="P399" i="1"/>
  <c r="Q399" i="1"/>
  <c r="R399" i="1"/>
  <c r="S399" i="1"/>
  <c r="T399" i="1"/>
  <c r="L400" i="1"/>
  <c r="M400" i="1"/>
  <c r="N400" i="1"/>
  <c r="O400" i="1"/>
  <c r="P400" i="1"/>
  <c r="Q400" i="1"/>
  <c r="R400" i="1"/>
  <c r="S400" i="1"/>
  <c r="T400" i="1"/>
  <c r="L401" i="1"/>
  <c r="M401" i="1"/>
  <c r="N401" i="1"/>
  <c r="O401" i="1"/>
  <c r="P401" i="1"/>
  <c r="Q401" i="1"/>
  <c r="R401" i="1"/>
  <c r="S401" i="1"/>
  <c r="T401" i="1"/>
  <c r="L402" i="1"/>
  <c r="M402" i="1"/>
  <c r="N402" i="1"/>
  <c r="O402" i="1"/>
  <c r="P402" i="1"/>
  <c r="Q402" i="1"/>
  <c r="R402" i="1"/>
  <c r="S402" i="1"/>
  <c r="T402" i="1"/>
  <c r="L403" i="1"/>
  <c r="M403" i="1"/>
  <c r="N403" i="1"/>
  <c r="O403" i="1"/>
  <c r="P403" i="1"/>
  <c r="Q403" i="1"/>
  <c r="R403" i="1"/>
  <c r="S403" i="1"/>
  <c r="T403" i="1"/>
  <c r="L404" i="1"/>
  <c r="M404" i="1"/>
  <c r="N404" i="1"/>
  <c r="O404" i="1"/>
  <c r="P404" i="1"/>
  <c r="Q404" i="1"/>
  <c r="R404" i="1"/>
  <c r="S404" i="1"/>
  <c r="T404" i="1"/>
  <c r="L405" i="1"/>
  <c r="M405" i="1"/>
  <c r="N405" i="1"/>
  <c r="O405" i="1"/>
  <c r="P405" i="1"/>
  <c r="Q405" i="1"/>
  <c r="R405" i="1"/>
  <c r="S405" i="1"/>
  <c r="T405" i="1"/>
  <c r="L406" i="1"/>
  <c r="M406" i="1"/>
  <c r="N406" i="1"/>
  <c r="O406" i="1"/>
  <c r="P406" i="1"/>
  <c r="Q406" i="1"/>
  <c r="R406" i="1"/>
  <c r="S406" i="1"/>
  <c r="T406" i="1"/>
  <c r="L407" i="1"/>
  <c r="M407" i="1"/>
  <c r="N407" i="1"/>
  <c r="O407" i="1"/>
  <c r="P407" i="1"/>
  <c r="Q407" i="1"/>
  <c r="R407" i="1"/>
  <c r="S407" i="1"/>
  <c r="T407" i="1"/>
  <c r="L408" i="1"/>
  <c r="M408" i="1"/>
  <c r="N408" i="1"/>
  <c r="O408" i="1"/>
  <c r="P408" i="1"/>
  <c r="Q408" i="1"/>
  <c r="R408" i="1"/>
  <c r="S408" i="1"/>
  <c r="T408" i="1"/>
  <c r="L409" i="1"/>
  <c r="M409" i="1"/>
  <c r="N409" i="1"/>
  <c r="O409" i="1"/>
  <c r="P409" i="1"/>
  <c r="Q409" i="1"/>
  <c r="R409" i="1"/>
  <c r="S409" i="1"/>
  <c r="T409" i="1"/>
  <c r="L410" i="1"/>
  <c r="M410" i="1"/>
  <c r="N410" i="1"/>
  <c r="O410" i="1"/>
  <c r="P410" i="1"/>
  <c r="Q410" i="1"/>
  <c r="R410" i="1"/>
  <c r="S410" i="1"/>
  <c r="T410" i="1"/>
  <c r="L411" i="1"/>
  <c r="M411" i="1"/>
  <c r="N411" i="1"/>
  <c r="O411" i="1"/>
  <c r="P411" i="1"/>
  <c r="Q411" i="1"/>
  <c r="R411" i="1"/>
  <c r="S411" i="1"/>
  <c r="T411" i="1"/>
  <c r="L412" i="1"/>
  <c r="M412" i="1"/>
  <c r="N412" i="1"/>
  <c r="O412" i="1"/>
  <c r="P412" i="1"/>
  <c r="Q412" i="1"/>
  <c r="R412" i="1"/>
  <c r="S412" i="1"/>
  <c r="T412" i="1"/>
  <c r="L413" i="1"/>
  <c r="M413" i="1"/>
  <c r="N413" i="1"/>
  <c r="O413" i="1"/>
  <c r="P413" i="1"/>
  <c r="Q413" i="1"/>
  <c r="R413" i="1"/>
  <c r="S413" i="1"/>
  <c r="T413" i="1"/>
  <c r="L414" i="1"/>
  <c r="M414" i="1"/>
  <c r="N414" i="1"/>
  <c r="O414" i="1"/>
  <c r="P414" i="1"/>
  <c r="Q414" i="1"/>
  <c r="R414" i="1"/>
  <c r="S414" i="1"/>
  <c r="T414" i="1"/>
  <c r="L415" i="1"/>
  <c r="M415" i="1"/>
  <c r="N415" i="1"/>
  <c r="O415" i="1"/>
  <c r="P415" i="1"/>
  <c r="Q415" i="1"/>
  <c r="R415" i="1"/>
  <c r="S415" i="1"/>
  <c r="T415" i="1"/>
  <c r="L416" i="1"/>
  <c r="M416" i="1"/>
  <c r="N416" i="1"/>
  <c r="O416" i="1"/>
  <c r="P416" i="1"/>
  <c r="Q416" i="1"/>
  <c r="R416" i="1"/>
  <c r="S416" i="1"/>
  <c r="T416" i="1"/>
  <c r="L417" i="1"/>
  <c r="M417" i="1"/>
  <c r="N417" i="1"/>
  <c r="O417" i="1"/>
  <c r="P417" i="1"/>
  <c r="Q417" i="1"/>
  <c r="R417" i="1"/>
  <c r="S417" i="1"/>
  <c r="T417" i="1"/>
  <c r="L418" i="1"/>
  <c r="M418" i="1"/>
  <c r="N418" i="1"/>
  <c r="O418" i="1"/>
  <c r="P418" i="1"/>
  <c r="Q418" i="1"/>
  <c r="R418" i="1"/>
  <c r="S418" i="1"/>
  <c r="T418" i="1"/>
  <c r="L419" i="1"/>
  <c r="M419" i="1"/>
  <c r="N419" i="1"/>
  <c r="O419" i="1"/>
  <c r="P419" i="1"/>
  <c r="Q419" i="1"/>
  <c r="R419" i="1"/>
  <c r="S419" i="1"/>
  <c r="T419" i="1"/>
  <c r="L420" i="1"/>
  <c r="M420" i="1"/>
  <c r="N420" i="1"/>
  <c r="O420" i="1"/>
  <c r="P420" i="1"/>
  <c r="Q420" i="1"/>
  <c r="R420" i="1"/>
  <c r="S420" i="1"/>
  <c r="T420" i="1"/>
  <c r="L421" i="1"/>
  <c r="M421" i="1"/>
  <c r="N421" i="1"/>
  <c r="O421" i="1"/>
  <c r="P421" i="1"/>
  <c r="Q421" i="1"/>
  <c r="R421" i="1"/>
  <c r="S421" i="1"/>
  <c r="T421" i="1"/>
  <c r="L422" i="1"/>
  <c r="M422" i="1"/>
  <c r="N422" i="1"/>
  <c r="O422" i="1"/>
  <c r="P422" i="1"/>
  <c r="Q422" i="1"/>
  <c r="R422" i="1"/>
  <c r="S422" i="1"/>
  <c r="T422" i="1"/>
  <c r="L423" i="1"/>
  <c r="M423" i="1"/>
  <c r="N423" i="1"/>
  <c r="O423" i="1"/>
  <c r="P423" i="1"/>
  <c r="Q423" i="1"/>
  <c r="R423" i="1"/>
  <c r="S423" i="1"/>
  <c r="T423" i="1"/>
  <c r="L424" i="1"/>
  <c r="M424" i="1"/>
  <c r="N424" i="1"/>
  <c r="O424" i="1"/>
  <c r="P424" i="1"/>
  <c r="Q424" i="1"/>
  <c r="R424" i="1"/>
  <c r="S424" i="1"/>
  <c r="T424" i="1"/>
  <c r="L425" i="1"/>
  <c r="M425" i="1"/>
  <c r="N425" i="1"/>
  <c r="O425" i="1"/>
  <c r="P425" i="1"/>
  <c r="Q425" i="1"/>
  <c r="R425" i="1"/>
  <c r="S425" i="1"/>
  <c r="T425" i="1"/>
  <c r="L426" i="1"/>
  <c r="M426" i="1"/>
  <c r="N426" i="1"/>
  <c r="O426" i="1"/>
  <c r="P426" i="1"/>
  <c r="Q426" i="1"/>
  <c r="R426" i="1"/>
  <c r="S426" i="1"/>
  <c r="T426" i="1"/>
  <c r="L427" i="1"/>
  <c r="M427" i="1"/>
  <c r="N427" i="1"/>
  <c r="O427" i="1"/>
  <c r="P427" i="1"/>
  <c r="Q427" i="1"/>
  <c r="R427" i="1"/>
  <c r="S427" i="1"/>
  <c r="T427" i="1"/>
  <c r="L428" i="1"/>
  <c r="M428" i="1"/>
  <c r="N428" i="1"/>
  <c r="O428" i="1"/>
  <c r="P428" i="1"/>
  <c r="Q428" i="1"/>
  <c r="R428" i="1"/>
  <c r="S428" i="1"/>
  <c r="T428" i="1"/>
  <c r="L429" i="1"/>
  <c r="M429" i="1"/>
  <c r="N429" i="1"/>
  <c r="O429" i="1"/>
  <c r="P429" i="1"/>
  <c r="Q429" i="1"/>
  <c r="R429" i="1"/>
  <c r="S429" i="1"/>
  <c r="T429" i="1"/>
  <c r="L430" i="1"/>
  <c r="M430" i="1"/>
  <c r="N430" i="1"/>
  <c r="O430" i="1"/>
  <c r="P430" i="1"/>
  <c r="Q430" i="1"/>
  <c r="R430" i="1"/>
  <c r="S430" i="1"/>
  <c r="T430" i="1"/>
  <c r="L431" i="1"/>
  <c r="M431" i="1"/>
  <c r="N431" i="1"/>
  <c r="O431" i="1"/>
  <c r="P431" i="1"/>
  <c r="Q431" i="1"/>
  <c r="R431" i="1"/>
  <c r="S431" i="1"/>
  <c r="T431" i="1"/>
  <c r="L432" i="1"/>
  <c r="M432" i="1"/>
  <c r="N432" i="1"/>
  <c r="O432" i="1"/>
  <c r="P432" i="1"/>
  <c r="Q432" i="1"/>
  <c r="R432" i="1"/>
  <c r="S432" i="1"/>
  <c r="T432" i="1"/>
  <c r="L433" i="1"/>
  <c r="M433" i="1"/>
  <c r="N433" i="1"/>
  <c r="O433" i="1"/>
  <c r="P433" i="1"/>
  <c r="Q433" i="1"/>
  <c r="R433" i="1"/>
  <c r="S433" i="1"/>
  <c r="T433" i="1"/>
  <c r="L434" i="1"/>
  <c r="M434" i="1"/>
  <c r="N434" i="1"/>
  <c r="O434" i="1"/>
  <c r="P434" i="1"/>
  <c r="Q434" i="1"/>
  <c r="R434" i="1"/>
  <c r="S434" i="1"/>
  <c r="T434" i="1"/>
  <c r="L435" i="1"/>
  <c r="M435" i="1"/>
  <c r="N435" i="1"/>
  <c r="O435" i="1"/>
  <c r="P435" i="1"/>
  <c r="Q435" i="1"/>
  <c r="R435" i="1"/>
  <c r="S435" i="1"/>
  <c r="T435" i="1"/>
  <c r="L436" i="1"/>
  <c r="M436" i="1"/>
  <c r="N436" i="1"/>
  <c r="O436" i="1"/>
  <c r="P436" i="1"/>
  <c r="Q436" i="1"/>
  <c r="R436" i="1"/>
  <c r="S436" i="1"/>
  <c r="T436" i="1"/>
  <c r="L437" i="1"/>
  <c r="M437" i="1"/>
  <c r="N437" i="1"/>
  <c r="O437" i="1"/>
  <c r="P437" i="1"/>
  <c r="Q437" i="1"/>
  <c r="R437" i="1"/>
  <c r="S437" i="1"/>
  <c r="T437" i="1"/>
  <c r="L438" i="1"/>
  <c r="M438" i="1"/>
  <c r="N438" i="1"/>
  <c r="O438" i="1"/>
  <c r="P438" i="1"/>
  <c r="Q438" i="1"/>
  <c r="R438" i="1"/>
  <c r="S438" i="1"/>
  <c r="T438" i="1"/>
  <c r="L439" i="1"/>
  <c r="M439" i="1"/>
  <c r="N439" i="1"/>
  <c r="O439" i="1"/>
  <c r="P439" i="1"/>
  <c r="Q439" i="1"/>
  <c r="R439" i="1"/>
  <c r="S439" i="1"/>
  <c r="T439" i="1"/>
  <c r="L440" i="1"/>
  <c r="M440" i="1"/>
  <c r="N440" i="1"/>
  <c r="O440" i="1"/>
  <c r="P440" i="1"/>
  <c r="Q440" i="1"/>
  <c r="R440" i="1"/>
  <c r="S440" i="1"/>
  <c r="T440" i="1"/>
  <c r="L441" i="1"/>
  <c r="M441" i="1"/>
  <c r="N441" i="1"/>
  <c r="O441" i="1"/>
  <c r="P441" i="1"/>
  <c r="Q441" i="1"/>
  <c r="R441" i="1"/>
  <c r="S441" i="1"/>
  <c r="T441" i="1"/>
  <c r="L442" i="1"/>
  <c r="M442" i="1"/>
  <c r="N442" i="1"/>
  <c r="O442" i="1"/>
  <c r="P442" i="1"/>
  <c r="Q442" i="1"/>
  <c r="R442" i="1"/>
  <c r="S442" i="1"/>
  <c r="T442" i="1"/>
  <c r="L443" i="1"/>
  <c r="M443" i="1"/>
  <c r="N443" i="1"/>
  <c r="O443" i="1"/>
  <c r="P443" i="1"/>
  <c r="Q443" i="1"/>
  <c r="R443" i="1"/>
  <c r="S443" i="1"/>
  <c r="T443" i="1"/>
  <c r="L444" i="1"/>
  <c r="M444" i="1"/>
  <c r="N444" i="1"/>
  <c r="O444" i="1"/>
  <c r="P444" i="1"/>
  <c r="Q444" i="1"/>
  <c r="R444" i="1"/>
  <c r="S444" i="1"/>
  <c r="T444" i="1"/>
  <c r="L445" i="1"/>
  <c r="M445" i="1"/>
  <c r="N445" i="1"/>
  <c r="O445" i="1"/>
  <c r="P445" i="1"/>
  <c r="Q445" i="1"/>
  <c r="R445" i="1"/>
  <c r="S445" i="1"/>
  <c r="T445" i="1"/>
  <c r="L446" i="1"/>
  <c r="M446" i="1"/>
  <c r="N446" i="1"/>
  <c r="O446" i="1"/>
  <c r="P446" i="1"/>
  <c r="Q446" i="1"/>
  <c r="R446" i="1"/>
  <c r="S446" i="1"/>
  <c r="T446" i="1"/>
  <c r="L447" i="1"/>
  <c r="M447" i="1"/>
  <c r="N447" i="1"/>
  <c r="O447" i="1"/>
  <c r="P447" i="1"/>
  <c r="Q447" i="1"/>
  <c r="R447" i="1"/>
  <c r="S447" i="1"/>
  <c r="T447" i="1"/>
  <c r="L448" i="1"/>
  <c r="M448" i="1"/>
  <c r="N448" i="1"/>
  <c r="O448" i="1"/>
  <c r="P448" i="1"/>
  <c r="Q448" i="1"/>
  <c r="R448" i="1"/>
  <c r="S448" i="1"/>
  <c r="T448" i="1"/>
  <c r="L449" i="1"/>
  <c r="M449" i="1"/>
  <c r="N449" i="1"/>
  <c r="O449" i="1"/>
  <c r="P449" i="1"/>
  <c r="Q449" i="1"/>
  <c r="R449" i="1"/>
  <c r="S449" i="1"/>
  <c r="T449" i="1"/>
  <c r="L450" i="1"/>
  <c r="M450" i="1"/>
  <c r="N450" i="1"/>
  <c r="O450" i="1"/>
  <c r="P450" i="1"/>
  <c r="Q450" i="1"/>
  <c r="R450" i="1"/>
  <c r="S450" i="1"/>
  <c r="T450" i="1"/>
  <c r="L451" i="1"/>
  <c r="M451" i="1"/>
  <c r="N451" i="1"/>
  <c r="O451" i="1"/>
  <c r="P451" i="1"/>
  <c r="Q451" i="1"/>
  <c r="R451" i="1"/>
  <c r="S451" i="1"/>
  <c r="T451" i="1"/>
  <c r="L452" i="1"/>
  <c r="M452" i="1"/>
  <c r="N452" i="1"/>
  <c r="O452" i="1"/>
  <c r="P452" i="1"/>
  <c r="Q452" i="1"/>
  <c r="R452" i="1"/>
  <c r="S452" i="1"/>
  <c r="T452" i="1"/>
  <c r="L453" i="1"/>
  <c r="M453" i="1"/>
  <c r="N453" i="1"/>
  <c r="O453" i="1"/>
  <c r="P453" i="1"/>
  <c r="Q453" i="1"/>
  <c r="R453" i="1"/>
  <c r="S453" i="1"/>
  <c r="T453" i="1"/>
  <c r="L454" i="1"/>
  <c r="M454" i="1"/>
  <c r="N454" i="1"/>
  <c r="O454" i="1"/>
  <c r="P454" i="1"/>
  <c r="Q454" i="1"/>
  <c r="R454" i="1"/>
  <c r="S454" i="1"/>
  <c r="T454" i="1"/>
  <c r="L455" i="1"/>
  <c r="M455" i="1"/>
  <c r="N455" i="1"/>
  <c r="O455" i="1"/>
  <c r="P455" i="1"/>
  <c r="Q455" i="1"/>
  <c r="R455" i="1"/>
  <c r="S455" i="1"/>
  <c r="T455" i="1"/>
  <c r="L456" i="1"/>
  <c r="M456" i="1"/>
  <c r="N456" i="1"/>
  <c r="O456" i="1"/>
  <c r="P456" i="1"/>
  <c r="Q456" i="1"/>
  <c r="R456" i="1"/>
  <c r="S456" i="1"/>
  <c r="T456" i="1"/>
  <c r="L457" i="1"/>
  <c r="M457" i="1"/>
  <c r="N457" i="1"/>
  <c r="O457" i="1"/>
  <c r="P457" i="1"/>
  <c r="Q457" i="1"/>
  <c r="R457" i="1"/>
  <c r="S457" i="1"/>
  <c r="T457" i="1"/>
  <c r="L458" i="1"/>
  <c r="M458" i="1"/>
  <c r="N458" i="1"/>
  <c r="O458" i="1"/>
  <c r="P458" i="1"/>
  <c r="Q458" i="1"/>
  <c r="R458" i="1"/>
  <c r="S458" i="1"/>
  <c r="T458" i="1"/>
  <c r="L459" i="1"/>
  <c r="M459" i="1"/>
  <c r="N459" i="1"/>
  <c r="O459" i="1"/>
  <c r="P459" i="1"/>
  <c r="Q459" i="1"/>
  <c r="R459" i="1"/>
  <c r="S459" i="1"/>
  <c r="T459" i="1"/>
  <c r="L460" i="1"/>
  <c r="M460" i="1"/>
  <c r="N460" i="1"/>
  <c r="O460" i="1"/>
  <c r="P460" i="1"/>
  <c r="Q460" i="1"/>
  <c r="R460" i="1"/>
  <c r="S460" i="1"/>
  <c r="T460" i="1"/>
  <c r="L461" i="1"/>
  <c r="M461" i="1"/>
  <c r="N461" i="1"/>
  <c r="O461" i="1"/>
  <c r="P461" i="1"/>
  <c r="Q461" i="1"/>
  <c r="R461" i="1"/>
  <c r="S461" i="1"/>
  <c r="T461" i="1"/>
  <c r="L462" i="1"/>
  <c r="M462" i="1"/>
  <c r="N462" i="1"/>
  <c r="O462" i="1"/>
  <c r="P462" i="1"/>
  <c r="Q462" i="1"/>
  <c r="R462" i="1"/>
  <c r="S462" i="1"/>
  <c r="T462" i="1"/>
  <c r="L463" i="1"/>
  <c r="M463" i="1"/>
  <c r="N463" i="1"/>
  <c r="O463" i="1"/>
  <c r="P463" i="1"/>
  <c r="Q463" i="1"/>
  <c r="R463" i="1"/>
  <c r="S463" i="1"/>
  <c r="T463" i="1"/>
  <c r="L464" i="1"/>
  <c r="M464" i="1"/>
  <c r="N464" i="1"/>
  <c r="O464" i="1"/>
  <c r="P464" i="1"/>
  <c r="Q464" i="1"/>
  <c r="R464" i="1"/>
  <c r="S464" i="1"/>
  <c r="T464" i="1"/>
  <c r="L465" i="1"/>
  <c r="M465" i="1"/>
  <c r="N465" i="1"/>
  <c r="O465" i="1"/>
  <c r="P465" i="1"/>
  <c r="Q465" i="1"/>
  <c r="R465" i="1"/>
  <c r="S465" i="1"/>
  <c r="T465" i="1"/>
  <c r="L466" i="1"/>
  <c r="M466" i="1"/>
  <c r="N466" i="1"/>
  <c r="O466" i="1"/>
  <c r="P466" i="1"/>
  <c r="Q466" i="1"/>
  <c r="R466" i="1"/>
  <c r="S466" i="1"/>
  <c r="T466" i="1"/>
  <c r="L467" i="1"/>
  <c r="M467" i="1"/>
  <c r="N467" i="1"/>
  <c r="O467" i="1"/>
  <c r="P467" i="1"/>
  <c r="Q467" i="1"/>
  <c r="R467" i="1"/>
  <c r="S467" i="1"/>
  <c r="T467" i="1"/>
  <c r="L468" i="1"/>
  <c r="M468" i="1"/>
  <c r="N468" i="1"/>
  <c r="O468" i="1"/>
  <c r="P468" i="1"/>
  <c r="Q468" i="1"/>
  <c r="R468" i="1"/>
  <c r="S468" i="1"/>
  <c r="T468" i="1"/>
  <c r="L469" i="1"/>
  <c r="M469" i="1"/>
  <c r="N469" i="1"/>
  <c r="O469" i="1"/>
  <c r="P469" i="1"/>
  <c r="Q469" i="1"/>
  <c r="R469" i="1"/>
  <c r="S469" i="1"/>
  <c r="T469" i="1"/>
  <c r="L470" i="1"/>
  <c r="M470" i="1"/>
  <c r="N470" i="1"/>
  <c r="O470" i="1"/>
  <c r="P470" i="1"/>
  <c r="Q470" i="1"/>
  <c r="R470" i="1"/>
  <c r="S470" i="1"/>
  <c r="T470" i="1"/>
  <c r="L471" i="1"/>
  <c r="M471" i="1"/>
  <c r="N471" i="1"/>
  <c r="O471" i="1"/>
  <c r="P471" i="1"/>
  <c r="Q471" i="1"/>
  <c r="R471" i="1"/>
  <c r="S471" i="1"/>
  <c r="T471" i="1"/>
  <c r="L472" i="1"/>
  <c r="M472" i="1"/>
  <c r="N472" i="1"/>
  <c r="O472" i="1"/>
  <c r="P472" i="1"/>
  <c r="Q472" i="1"/>
  <c r="R472" i="1"/>
  <c r="S472" i="1"/>
  <c r="T472" i="1"/>
  <c r="L473" i="1"/>
  <c r="M473" i="1"/>
  <c r="N473" i="1"/>
  <c r="O473" i="1"/>
  <c r="P473" i="1"/>
  <c r="Q473" i="1"/>
  <c r="R473" i="1"/>
  <c r="S473" i="1"/>
  <c r="T473" i="1"/>
  <c r="L474" i="1"/>
  <c r="M474" i="1"/>
  <c r="N474" i="1"/>
  <c r="O474" i="1"/>
  <c r="P474" i="1"/>
  <c r="Q474" i="1"/>
  <c r="R474" i="1"/>
  <c r="S474" i="1"/>
  <c r="T474" i="1"/>
  <c r="L475" i="1"/>
  <c r="M475" i="1"/>
  <c r="N475" i="1"/>
  <c r="O475" i="1"/>
  <c r="P475" i="1"/>
  <c r="Q475" i="1"/>
  <c r="R475" i="1"/>
  <c r="S475" i="1"/>
  <c r="T475" i="1"/>
  <c r="L476" i="1"/>
  <c r="M476" i="1"/>
  <c r="N476" i="1"/>
  <c r="O476" i="1"/>
  <c r="P476" i="1"/>
  <c r="Q476" i="1"/>
  <c r="R476" i="1"/>
  <c r="S476" i="1"/>
  <c r="T476" i="1"/>
  <c r="L477" i="1"/>
  <c r="M477" i="1"/>
  <c r="N477" i="1"/>
  <c r="O477" i="1"/>
  <c r="P477" i="1"/>
  <c r="Q477" i="1"/>
  <c r="R477" i="1"/>
  <c r="S477" i="1"/>
  <c r="T477" i="1"/>
  <c r="L478" i="1"/>
  <c r="M478" i="1"/>
  <c r="N478" i="1"/>
  <c r="O478" i="1"/>
  <c r="P478" i="1"/>
  <c r="Q478" i="1"/>
  <c r="R478" i="1"/>
  <c r="S478" i="1"/>
  <c r="T478" i="1"/>
  <c r="L479" i="1"/>
  <c r="M479" i="1"/>
  <c r="N479" i="1"/>
  <c r="O479" i="1"/>
  <c r="P479" i="1"/>
  <c r="Q479" i="1"/>
  <c r="R479" i="1"/>
  <c r="S479" i="1"/>
  <c r="T479" i="1"/>
  <c r="L480" i="1"/>
  <c r="M480" i="1"/>
  <c r="N480" i="1"/>
  <c r="O480" i="1"/>
  <c r="P480" i="1"/>
  <c r="Q480" i="1"/>
  <c r="R480" i="1"/>
  <c r="S480" i="1"/>
  <c r="T480" i="1"/>
  <c r="L481" i="1"/>
  <c r="M481" i="1"/>
  <c r="N481" i="1"/>
  <c r="O481" i="1"/>
  <c r="P481" i="1"/>
  <c r="Q481" i="1"/>
  <c r="R481" i="1"/>
  <c r="S481" i="1"/>
  <c r="T481" i="1"/>
  <c r="L482" i="1"/>
  <c r="M482" i="1"/>
  <c r="N482" i="1"/>
  <c r="O482" i="1"/>
  <c r="P482" i="1"/>
  <c r="Q482" i="1"/>
  <c r="R482" i="1"/>
  <c r="S482" i="1"/>
  <c r="T482" i="1"/>
  <c r="L483" i="1"/>
  <c r="M483" i="1"/>
  <c r="N483" i="1"/>
  <c r="O483" i="1"/>
  <c r="P483" i="1"/>
  <c r="Q483" i="1"/>
  <c r="R483" i="1"/>
  <c r="S483" i="1"/>
  <c r="T483" i="1"/>
  <c r="L484" i="1"/>
  <c r="M484" i="1"/>
  <c r="N484" i="1"/>
  <c r="O484" i="1"/>
  <c r="P484" i="1"/>
  <c r="Q484" i="1"/>
  <c r="R484" i="1"/>
  <c r="S484" i="1"/>
  <c r="T484" i="1"/>
  <c r="L485" i="1"/>
  <c r="M485" i="1"/>
  <c r="N485" i="1"/>
  <c r="O485" i="1"/>
  <c r="P485" i="1"/>
  <c r="Q485" i="1"/>
  <c r="R485" i="1"/>
  <c r="S485" i="1"/>
  <c r="T485" i="1"/>
  <c r="L486" i="1"/>
  <c r="M486" i="1"/>
  <c r="N486" i="1"/>
  <c r="O486" i="1"/>
  <c r="P486" i="1"/>
  <c r="Q486" i="1"/>
  <c r="R486" i="1"/>
  <c r="S486" i="1"/>
  <c r="T486" i="1"/>
  <c r="L487" i="1"/>
  <c r="M487" i="1"/>
  <c r="N487" i="1"/>
  <c r="O487" i="1"/>
  <c r="P487" i="1"/>
  <c r="Q487" i="1"/>
  <c r="R487" i="1"/>
  <c r="S487" i="1"/>
  <c r="T487" i="1"/>
  <c r="L488" i="1"/>
  <c r="M488" i="1"/>
  <c r="N488" i="1"/>
  <c r="O488" i="1"/>
  <c r="P488" i="1"/>
  <c r="Q488" i="1"/>
  <c r="R488" i="1"/>
  <c r="S488" i="1"/>
  <c r="T488" i="1"/>
  <c r="L489" i="1"/>
  <c r="M489" i="1"/>
  <c r="N489" i="1"/>
  <c r="O489" i="1"/>
  <c r="P489" i="1"/>
  <c r="Q489" i="1"/>
  <c r="R489" i="1"/>
  <c r="S489" i="1"/>
  <c r="T489" i="1"/>
  <c r="L490" i="1"/>
  <c r="M490" i="1"/>
  <c r="N490" i="1"/>
  <c r="O490" i="1"/>
  <c r="P490" i="1"/>
  <c r="Q490" i="1"/>
  <c r="R490" i="1"/>
  <c r="S490" i="1"/>
  <c r="T490" i="1"/>
  <c r="L491" i="1"/>
  <c r="M491" i="1"/>
  <c r="N491" i="1"/>
  <c r="O491" i="1"/>
  <c r="P491" i="1"/>
  <c r="Q491" i="1"/>
  <c r="R491" i="1"/>
  <c r="S491" i="1"/>
  <c r="T491" i="1"/>
  <c r="L492" i="1"/>
  <c r="M492" i="1"/>
  <c r="N492" i="1"/>
  <c r="O492" i="1"/>
  <c r="P492" i="1"/>
  <c r="Q492" i="1"/>
  <c r="R492" i="1"/>
  <c r="S492" i="1"/>
  <c r="T492" i="1"/>
  <c r="L493" i="1"/>
  <c r="M493" i="1"/>
  <c r="N493" i="1"/>
  <c r="O493" i="1"/>
  <c r="P493" i="1"/>
  <c r="Q493" i="1"/>
  <c r="R493" i="1"/>
  <c r="S493" i="1"/>
  <c r="T493" i="1"/>
  <c r="L494" i="1"/>
  <c r="M494" i="1"/>
  <c r="N494" i="1"/>
  <c r="O494" i="1"/>
  <c r="P494" i="1"/>
  <c r="Q494" i="1"/>
  <c r="R494" i="1"/>
  <c r="S494" i="1"/>
  <c r="T494" i="1"/>
  <c r="L495" i="1"/>
  <c r="M495" i="1"/>
  <c r="N495" i="1"/>
  <c r="O495" i="1"/>
  <c r="P495" i="1"/>
  <c r="Q495" i="1"/>
  <c r="R495" i="1"/>
  <c r="S495" i="1"/>
  <c r="T495" i="1"/>
  <c r="L496" i="1"/>
  <c r="M496" i="1"/>
  <c r="N496" i="1"/>
  <c r="O496" i="1"/>
  <c r="P496" i="1"/>
  <c r="Q496" i="1"/>
  <c r="R496" i="1"/>
  <c r="S496" i="1"/>
  <c r="T496" i="1"/>
  <c r="L497" i="1"/>
  <c r="M497" i="1"/>
  <c r="N497" i="1"/>
  <c r="O497" i="1"/>
  <c r="P497" i="1"/>
  <c r="Q497" i="1"/>
  <c r="R497" i="1"/>
  <c r="S497" i="1"/>
  <c r="T497" i="1"/>
  <c r="L498" i="1"/>
  <c r="M498" i="1"/>
  <c r="N498" i="1"/>
  <c r="O498" i="1"/>
  <c r="P498" i="1"/>
  <c r="Q498" i="1"/>
  <c r="R498" i="1"/>
  <c r="S498" i="1"/>
  <c r="T498" i="1"/>
  <c r="L499" i="1"/>
  <c r="M499" i="1"/>
  <c r="N499" i="1"/>
  <c r="O499" i="1"/>
  <c r="P499" i="1"/>
  <c r="Q499" i="1"/>
  <c r="R499" i="1"/>
  <c r="S499" i="1"/>
  <c r="T499" i="1"/>
  <c r="L500" i="1"/>
  <c r="M500" i="1"/>
  <c r="N500" i="1"/>
  <c r="O500" i="1"/>
  <c r="P500" i="1"/>
  <c r="Q500" i="1"/>
  <c r="R500" i="1"/>
  <c r="S500" i="1"/>
  <c r="T500" i="1"/>
  <c r="L501" i="1"/>
  <c r="M501" i="1"/>
  <c r="N501" i="1"/>
  <c r="O501" i="1"/>
  <c r="P501" i="1"/>
  <c r="Q501" i="1"/>
  <c r="R501" i="1"/>
  <c r="S501" i="1"/>
  <c r="T501" i="1"/>
  <c r="L502" i="1"/>
  <c r="M502" i="1"/>
  <c r="N502" i="1"/>
  <c r="O502" i="1"/>
  <c r="P502" i="1"/>
  <c r="Q502" i="1"/>
  <c r="R502" i="1"/>
  <c r="S502" i="1"/>
  <c r="T502" i="1"/>
  <c r="L503" i="1"/>
  <c r="M503" i="1"/>
  <c r="N503" i="1"/>
  <c r="O503" i="1"/>
  <c r="P503" i="1"/>
  <c r="Q503" i="1"/>
  <c r="R503" i="1"/>
  <c r="S503" i="1"/>
  <c r="T503" i="1"/>
  <c r="L504" i="1"/>
  <c r="M504" i="1"/>
  <c r="N504" i="1"/>
  <c r="O504" i="1"/>
  <c r="P504" i="1"/>
  <c r="Q504" i="1"/>
  <c r="R504" i="1"/>
  <c r="S504" i="1"/>
  <c r="T504" i="1"/>
  <c r="L505" i="1"/>
  <c r="M505" i="1"/>
  <c r="N505" i="1"/>
  <c r="O505" i="1"/>
  <c r="P505" i="1"/>
  <c r="Q505" i="1"/>
  <c r="R505" i="1"/>
  <c r="S505" i="1"/>
  <c r="T505" i="1"/>
  <c r="L506" i="1"/>
  <c r="M506" i="1"/>
  <c r="N506" i="1"/>
  <c r="O506" i="1"/>
  <c r="P506" i="1"/>
  <c r="Q506" i="1"/>
  <c r="R506" i="1"/>
  <c r="S506" i="1"/>
  <c r="T506" i="1"/>
  <c r="L507" i="1"/>
  <c r="M507" i="1"/>
  <c r="N507" i="1"/>
  <c r="O507" i="1"/>
  <c r="P507" i="1"/>
  <c r="Q507" i="1"/>
  <c r="R507" i="1"/>
  <c r="S507" i="1"/>
  <c r="T507" i="1"/>
  <c r="L508" i="1"/>
  <c r="M508" i="1"/>
  <c r="N508" i="1"/>
  <c r="O508" i="1"/>
  <c r="P508" i="1"/>
  <c r="Q508" i="1"/>
  <c r="R508" i="1"/>
  <c r="S508" i="1"/>
  <c r="T508" i="1"/>
  <c r="L509" i="1"/>
  <c r="M509" i="1"/>
  <c r="N509" i="1"/>
  <c r="O509" i="1"/>
  <c r="P509" i="1"/>
  <c r="Q509" i="1"/>
  <c r="R509" i="1"/>
  <c r="S509" i="1"/>
  <c r="T509" i="1"/>
  <c r="L510" i="1"/>
  <c r="M510" i="1"/>
  <c r="N510" i="1"/>
  <c r="O510" i="1"/>
  <c r="P510" i="1"/>
  <c r="Q510" i="1"/>
  <c r="R510" i="1"/>
  <c r="S510" i="1"/>
  <c r="T510" i="1"/>
  <c r="L511" i="1"/>
  <c r="M511" i="1"/>
  <c r="N511" i="1"/>
  <c r="O511" i="1"/>
  <c r="P511" i="1"/>
  <c r="Q511" i="1"/>
  <c r="R511" i="1"/>
  <c r="S511" i="1"/>
  <c r="T511" i="1"/>
  <c r="L512" i="1"/>
  <c r="M512" i="1"/>
  <c r="N512" i="1"/>
  <c r="O512" i="1"/>
  <c r="P512" i="1"/>
  <c r="Q512" i="1"/>
  <c r="R512" i="1"/>
  <c r="S512" i="1"/>
  <c r="T512" i="1"/>
  <c r="L513" i="1"/>
  <c r="M513" i="1"/>
  <c r="N513" i="1"/>
  <c r="O513" i="1"/>
  <c r="P513" i="1"/>
  <c r="Q513" i="1"/>
  <c r="R513" i="1"/>
  <c r="S513" i="1"/>
  <c r="T513" i="1"/>
  <c r="L514" i="1"/>
  <c r="M514" i="1"/>
  <c r="N514" i="1"/>
  <c r="O514" i="1"/>
  <c r="P514" i="1"/>
  <c r="Q514" i="1"/>
  <c r="R514" i="1"/>
  <c r="S514" i="1"/>
  <c r="T514" i="1"/>
  <c r="L515" i="1"/>
  <c r="M515" i="1"/>
  <c r="N515" i="1"/>
  <c r="O515" i="1"/>
  <c r="P515" i="1"/>
  <c r="Q515" i="1"/>
  <c r="R515" i="1"/>
  <c r="S515" i="1"/>
  <c r="T515" i="1"/>
  <c r="L516" i="1"/>
  <c r="M516" i="1"/>
  <c r="N516" i="1"/>
  <c r="O516" i="1"/>
  <c r="P516" i="1"/>
  <c r="Q516" i="1"/>
  <c r="R516" i="1"/>
  <c r="S516" i="1"/>
  <c r="T516" i="1"/>
  <c r="L517" i="1"/>
  <c r="M517" i="1"/>
  <c r="N517" i="1"/>
  <c r="O517" i="1"/>
  <c r="P517" i="1"/>
  <c r="Q517" i="1"/>
  <c r="R517" i="1"/>
  <c r="S517" i="1"/>
  <c r="T517" i="1"/>
  <c r="L518" i="1"/>
  <c r="M518" i="1"/>
  <c r="N518" i="1"/>
  <c r="O518" i="1"/>
  <c r="P518" i="1"/>
  <c r="Q518" i="1"/>
  <c r="R518" i="1"/>
  <c r="S518" i="1"/>
  <c r="T518" i="1"/>
  <c r="L519" i="1"/>
  <c r="M519" i="1"/>
  <c r="N519" i="1"/>
  <c r="O519" i="1"/>
  <c r="P519" i="1"/>
  <c r="Q519" i="1"/>
  <c r="R519" i="1"/>
  <c r="S519" i="1"/>
  <c r="T519" i="1"/>
  <c r="L520" i="1"/>
  <c r="M520" i="1"/>
  <c r="N520" i="1"/>
  <c r="O520" i="1"/>
  <c r="P520" i="1"/>
  <c r="Q520" i="1"/>
  <c r="R520" i="1"/>
  <c r="S520" i="1"/>
  <c r="T520" i="1"/>
  <c r="L521" i="1"/>
  <c r="M521" i="1"/>
  <c r="N521" i="1"/>
  <c r="O521" i="1"/>
  <c r="P521" i="1"/>
  <c r="Q521" i="1"/>
  <c r="R521" i="1"/>
  <c r="S521" i="1"/>
  <c r="T521" i="1"/>
  <c r="L522" i="1"/>
  <c r="M522" i="1"/>
  <c r="N522" i="1"/>
  <c r="O522" i="1"/>
  <c r="P522" i="1"/>
  <c r="Q522" i="1"/>
  <c r="R522" i="1"/>
  <c r="S522" i="1"/>
  <c r="T522" i="1"/>
  <c r="L523" i="1"/>
  <c r="M523" i="1"/>
  <c r="N523" i="1"/>
  <c r="O523" i="1"/>
  <c r="P523" i="1"/>
  <c r="Q523" i="1"/>
  <c r="R523" i="1"/>
  <c r="S523" i="1"/>
  <c r="T523" i="1"/>
  <c r="L524" i="1"/>
  <c r="M524" i="1"/>
  <c r="N524" i="1"/>
  <c r="O524" i="1"/>
  <c r="P524" i="1"/>
  <c r="Q524" i="1"/>
  <c r="R524" i="1"/>
  <c r="S524" i="1"/>
  <c r="T524" i="1"/>
  <c r="L525" i="1"/>
  <c r="M525" i="1"/>
  <c r="N525" i="1"/>
  <c r="O525" i="1"/>
  <c r="P525" i="1"/>
  <c r="Q525" i="1"/>
  <c r="R525" i="1"/>
  <c r="S525" i="1"/>
  <c r="T525" i="1"/>
  <c r="L526" i="1"/>
  <c r="M526" i="1"/>
  <c r="N526" i="1"/>
  <c r="O526" i="1"/>
  <c r="P526" i="1"/>
  <c r="Q526" i="1"/>
  <c r="R526" i="1"/>
  <c r="S526" i="1"/>
  <c r="T526" i="1"/>
  <c r="L527" i="1"/>
  <c r="M527" i="1"/>
  <c r="N527" i="1"/>
  <c r="O527" i="1"/>
  <c r="P527" i="1"/>
  <c r="Q527" i="1"/>
  <c r="R527" i="1"/>
  <c r="S527" i="1"/>
  <c r="T527" i="1"/>
  <c r="L528" i="1"/>
  <c r="M528" i="1"/>
  <c r="N528" i="1"/>
  <c r="O528" i="1"/>
  <c r="P528" i="1"/>
  <c r="Q528" i="1"/>
  <c r="R528" i="1"/>
  <c r="S528" i="1"/>
  <c r="T528" i="1"/>
  <c r="L529" i="1"/>
  <c r="M529" i="1"/>
  <c r="N529" i="1"/>
  <c r="O529" i="1"/>
  <c r="P529" i="1"/>
  <c r="Q529" i="1"/>
  <c r="R529" i="1"/>
  <c r="S529" i="1"/>
  <c r="T529" i="1"/>
  <c r="L530" i="1"/>
  <c r="M530" i="1"/>
  <c r="N530" i="1"/>
  <c r="O530" i="1"/>
  <c r="P530" i="1"/>
  <c r="Q530" i="1"/>
  <c r="R530" i="1"/>
  <c r="S530" i="1"/>
  <c r="T530" i="1"/>
  <c r="L531" i="1"/>
  <c r="M531" i="1"/>
  <c r="N531" i="1"/>
  <c r="O531" i="1"/>
  <c r="P531" i="1"/>
  <c r="Q531" i="1"/>
  <c r="R531" i="1"/>
  <c r="S531" i="1"/>
  <c r="T531" i="1"/>
  <c r="L532" i="1"/>
  <c r="M532" i="1"/>
  <c r="N532" i="1"/>
  <c r="O532" i="1"/>
  <c r="P532" i="1"/>
  <c r="Q532" i="1"/>
  <c r="R532" i="1"/>
  <c r="S532" i="1"/>
  <c r="T532" i="1"/>
  <c r="L533" i="1"/>
  <c r="M533" i="1"/>
  <c r="N533" i="1"/>
  <c r="O533" i="1"/>
  <c r="P533" i="1"/>
  <c r="Q533" i="1"/>
  <c r="R533" i="1"/>
  <c r="S533" i="1"/>
  <c r="T533" i="1"/>
  <c r="L534" i="1"/>
  <c r="M534" i="1"/>
  <c r="N534" i="1"/>
  <c r="O534" i="1"/>
  <c r="P534" i="1"/>
  <c r="Q534" i="1"/>
  <c r="R534" i="1"/>
  <c r="S534" i="1"/>
  <c r="T534" i="1"/>
  <c r="L535" i="1"/>
  <c r="M535" i="1"/>
  <c r="N535" i="1"/>
  <c r="O535" i="1"/>
  <c r="P535" i="1"/>
  <c r="Q535" i="1"/>
  <c r="R535" i="1"/>
  <c r="S535" i="1"/>
  <c r="T535" i="1"/>
  <c r="L536" i="1"/>
  <c r="M536" i="1"/>
  <c r="N536" i="1"/>
  <c r="O536" i="1"/>
  <c r="P536" i="1"/>
  <c r="Q536" i="1"/>
  <c r="R536" i="1"/>
  <c r="S536" i="1"/>
  <c r="T536" i="1"/>
  <c r="L537" i="1"/>
  <c r="M537" i="1"/>
  <c r="N537" i="1"/>
  <c r="O537" i="1"/>
  <c r="P537" i="1"/>
  <c r="Q537" i="1"/>
  <c r="R537" i="1"/>
  <c r="S537" i="1"/>
  <c r="T537" i="1"/>
  <c r="L538" i="1"/>
  <c r="M538" i="1"/>
  <c r="N538" i="1"/>
  <c r="O538" i="1"/>
  <c r="P538" i="1"/>
  <c r="Q538" i="1"/>
  <c r="R538" i="1"/>
  <c r="S538" i="1"/>
  <c r="T538" i="1"/>
  <c r="L539" i="1"/>
  <c r="M539" i="1"/>
  <c r="N539" i="1"/>
  <c r="O539" i="1"/>
  <c r="P539" i="1"/>
  <c r="Q539" i="1"/>
  <c r="R539" i="1"/>
  <c r="S539" i="1"/>
  <c r="T539" i="1"/>
  <c r="L540" i="1"/>
  <c r="M540" i="1"/>
  <c r="N540" i="1"/>
  <c r="O540" i="1"/>
  <c r="P540" i="1"/>
  <c r="Q540" i="1"/>
  <c r="R540" i="1"/>
  <c r="S540" i="1"/>
  <c r="T540" i="1"/>
  <c r="L541" i="1"/>
  <c r="M541" i="1"/>
  <c r="N541" i="1"/>
  <c r="O541" i="1"/>
  <c r="P541" i="1"/>
  <c r="Q541" i="1"/>
  <c r="R541" i="1"/>
  <c r="S541" i="1"/>
  <c r="T541" i="1"/>
  <c r="L542" i="1"/>
  <c r="M542" i="1"/>
  <c r="N542" i="1"/>
  <c r="O542" i="1"/>
  <c r="P542" i="1"/>
  <c r="Q542" i="1"/>
  <c r="R542" i="1"/>
  <c r="S542" i="1"/>
  <c r="T542" i="1"/>
  <c r="L543" i="1"/>
  <c r="M543" i="1"/>
  <c r="N543" i="1"/>
  <c r="O543" i="1"/>
  <c r="P543" i="1"/>
  <c r="Q543" i="1"/>
  <c r="R543" i="1"/>
  <c r="S543" i="1"/>
  <c r="T543" i="1"/>
  <c r="L544" i="1"/>
  <c r="M544" i="1"/>
  <c r="N544" i="1"/>
  <c r="O544" i="1"/>
  <c r="P544" i="1"/>
  <c r="Q544" i="1"/>
  <c r="R544" i="1"/>
  <c r="S544" i="1"/>
  <c r="T544" i="1"/>
  <c r="L545" i="1"/>
  <c r="M545" i="1"/>
  <c r="N545" i="1"/>
  <c r="O545" i="1"/>
  <c r="P545" i="1"/>
  <c r="Q545" i="1"/>
  <c r="R545" i="1"/>
  <c r="S545" i="1"/>
  <c r="T545" i="1"/>
  <c r="L546" i="1"/>
  <c r="M546" i="1"/>
  <c r="N546" i="1"/>
  <c r="O546" i="1"/>
  <c r="P546" i="1"/>
  <c r="Q546" i="1"/>
  <c r="R546" i="1"/>
  <c r="S546" i="1"/>
  <c r="T546" i="1"/>
  <c r="L547" i="1"/>
  <c r="M547" i="1"/>
  <c r="N547" i="1"/>
  <c r="O547" i="1"/>
  <c r="P547" i="1"/>
  <c r="Q547" i="1"/>
  <c r="R547" i="1"/>
  <c r="S547" i="1"/>
  <c r="T547" i="1"/>
  <c r="L548" i="1"/>
  <c r="M548" i="1"/>
  <c r="N548" i="1"/>
  <c r="O548" i="1"/>
  <c r="P548" i="1"/>
  <c r="Q548" i="1"/>
  <c r="R548" i="1"/>
  <c r="S548" i="1"/>
  <c r="T548" i="1"/>
  <c r="L549" i="1"/>
  <c r="M549" i="1"/>
  <c r="N549" i="1"/>
  <c r="O549" i="1"/>
  <c r="P549" i="1"/>
  <c r="Q549" i="1"/>
  <c r="R549" i="1"/>
  <c r="S549" i="1"/>
  <c r="T549" i="1"/>
  <c r="L550" i="1"/>
  <c r="M550" i="1"/>
  <c r="N550" i="1"/>
  <c r="O550" i="1"/>
  <c r="P550" i="1"/>
  <c r="Q550" i="1"/>
  <c r="R550" i="1"/>
  <c r="S550" i="1"/>
  <c r="T550" i="1"/>
  <c r="L551" i="1"/>
  <c r="M551" i="1"/>
  <c r="N551" i="1"/>
  <c r="O551" i="1"/>
  <c r="P551" i="1"/>
  <c r="Q551" i="1"/>
  <c r="R551" i="1"/>
  <c r="S551" i="1"/>
  <c r="T551" i="1"/>
  <c r="L552" i="1"/>
  <c r="M552" i="1"/>
  <c r="N552" i="1"/>
  <c r="O552" i="1"/>
  <c r="P552" i="1"/>
  <c r="Q552" i="1"/>
  <c r="R552" i="1"/>
  <c r="S552" i="1"/>
  <c r="T552" i="1"/>
  <c r="L553" i="1"/>
  <c r="M553" i="1"/>
  <c r="N553" i="1"/>
  <c r="O553" i="1"/>
  <c r="P553" i="1"/>
  <c r="Q553" i="1"/>
  <c r="R553" i="1"/>
  <c r="S553" i="1"/>
  <c r="T553" i="1"/>
  <c r="L554" i="1"/>
  <c r="M554" i="1"/>
  <c r="N554" i="1"/>
  <c r="O554" i="1"/>
  <c r="P554" i="1"/>
  <c r="Q554" i="1"/>
  <c r="R554" i="1"/>
  <c r="S554" i="1"/>
  <c r="T554" i="1"/>
  <c r="L555" i="1"/>
  <c r="M555" i="1"/>
  <c r="N555" i="1"/>
  <c r="O555" i="1"/>
  <c r="P555" i="1"/>
  <c r="Q555" i="1"/>
  <c r="R555" i="1"/>
  <c r="S555" i="1"/>
  <c r="T555" i="1"/>
  <c r="L556" i="1"/>
  <c r="M556" i="1"/>
  <c r="N556" i="1"/>
  <c r="O556" i="1"/>
  <c r="P556" i="1"/>
  <c r="Q556" i="1"/>
  <c r="R556" i="1"/>
  <c r="S556" i="1"/>
  <c r="T556" i="1"/>
  <c r="L557" i="1"/>
  <c r="M557" i="1"/>
  <c r="N557" i="1"/>
  <c r="O557" i="1"/>
  <c r="P557" i="1"/>
  <c r="Q557" i="1"/>
  <c r="R557" i="1"/>
  <c r="S557" i="1"/>
  <c r="T557" i="1"/>
  <c r="L558" i="1"/>
  <c r="M558" i="1"/>
  <c r="N558" i="1"/>
  <c r="O558" i="1"/>
  <c r="P558" i="1"/>
  <c r="Q558" i="1"/>
  <c r="R558" i="1"/>
  <c r="S558" i="1"/>
  <c r="T558" i="1"/>
  <c r="L559" i="1"/>
  <c r="M559" i="1"/>
  <c r="N559" i="1"/>
  <c r="O559" i="1"/>
  <c r="P559" i="1"/>
  <c r="Q559" i="1"/>
  <c r="R559" i="1"/>
  <c r="S559" i="1"/>
  <c r="T559" i="1"/>
  <c r="L560" i="1"/>
  <c r="M560" i="1"/>
  <c r="N560" i="1"/>
  <c r="O560" i="1"/>
  <c r="P560" i="1"/>
  <c r="Q560" i="1"/>
  <c r="R560" i="1"/>
  <c r="S560" i="1"/>
  <c r="T560" i="1"/>
  <c r="L561" i="1"/>
  <c r="M561" i="1"/>
  <c r="N561" i="1"/>
  <c r="O561" i="1"/>
  <c r="P561" i="1"/>
  <c r="Q561" i="1"/>
  <c r="R561" i="1"/>
  <c r="S561" i="1"/>
  <c r="T561" i="1"/>
  <c r="L562" i="1"/>
  <c r="M562" i="1"/>
  <c r="N562" i="1"/>
  <c r="O562" i="1"/>
  <c r="P562" i="1"/>
  <c r="Q562" i="1"/>
  <c r="R562" i="1"/>
  <c r="S562" i="1"/>
  <c r="T562" i="1"/>
  <c r="L563" i="1"/>
  <c r="M563" i="1"/>
  <c r="N563" i="1"/>
  <c r="O563" i="1"/>
  <c r="P563" i="1"/>
  <c r="Q563" i="1"/>
  <c r="R563" i="1"/>
  <c r="S563" i="1"/>
  <c r="T563" i="1"/>
  <c r="L564" i="1"/>
  <c r="M564" i="1"/>
  <c r="N564" i="1"/>
  <c r="O564" i="1"/>
  <c r="P564" i="1"/>
  <c r="Q564" i="1"/>
  <c r="R564" i="1"/>
  <c r="S564" i="1"/>
  <c r="T564" i="1"/>
  <c r="L565" i="1"/>
  <c r="M565" i="1"/>
  <c r="N565" i="1"/>
  <c r="O565" i="1"/>
  <c r="P565" i="1"/>
  <c r="Q565" i="1"/>
  <c r="R565" i="1"/>
  <c r="S565" i="1"/>
  <c r="T565" i="1"/>
  <c r="L566" i="1"/>
  <c r="M566" i="1"/>
  <c r="N566" i="1"/>
  <c r="O566" i="1"/>
  <c r="P566" i="1"/>
  <c r="Q566" i="1"/>
  <c r="R566" i="1"/>
  <c r="S566" i="1"/>
  <c r="T566" i="1"/>
  <c r="L567" i="1"/>
  <c r="M567" i="1"/>
  <c r="N567" i="1"/>
  <c r="O567" i="1"/>
  <c r="P567" i="1"/>
  <c r="Q567" i="1"/>
  <c r="R567" i="1"/>
  <c r="S567" i="1"/>
  <c r="T567" i="1"/>
  <c r="L568" i="1"/>
  <c r="M568" i="1"/>
  <c r="N568" i="1"/>
  <c r="O568" i="1"/>
  <c r="P568" i="1"/>
  <c r="Q568" i="1"/>
  <c r="R568" i="1"/>
  <c r="S568" i="1"/>
  <c r="T568" i="1"/>
  <c r="L569" i="1"/>
  <c r="M569" i="1"/>
  <c r="N569" i="1"/>
  <c r="O569" i="1"/>
  <c r="P569" i="1"/>
  <c r="Q569" i="1"/>
  <c r="R569" i="1"/>
  <c r="S569" i="1"/>
  <c r="T569" i="1"/>
  <c r="L570" i="1"/>
  <c r="M570" i="1"/>
  <c r="N570" i="1"/>
  <c r="O570" i="1"/>
  <c r="P570" i="1"/>
  <c r="Q570" i="1"/>
  <c r="R570" i="1"/>
  <c r="S570" i="1"/>
  <c r="T570" i="1"/>
  <c r="L571" i="1"/>
  <c r="M571" i="1"/>
  <c r="N571" i="1"/>
  <c r="O571" i="1"/>
  <c r="P571" i="1"/>
  <c r="Q571" i="1"/>
  <c r="R571" i="1"/>
  <c r="S571" i="1"/>
  <c r="T571" i="1"/>
  <c r="L572" i="1"/>
  <c r="M572" i="1"/>
  <c r="N572" i="1"/>
  <c r="O572" i="1"/>
  <c r="P572" i="1"/>
  <c r="Q572" i="1"/>
  <c r="R572" i="1"/>
  <c r="S572" i="1"/>
  <c r="T572" i="1"/>
  <c r="L573" i="1"/>
  <c r="M573" i="1"/>
  <c r="N573" i="1"/>
  <c r="O573" i="1"/>
  <c r="P573" i="1"/>
  <c r="Q573" i="1"/>
  <c r="R573" i="1"/>
  <c r="S573" i="1"/>
  <c r="T573" i="1"/>
  <c r="L574" i="1"/>
  <c r="M574" i="1"/>
  <c r="N574" i="1"/>
  <c r="O574" i="1"/>
  <c r="P574" i="1"/>
  <c r="Q574" i="1"/>
  <c r="R574" i="1"/>
  <c r="S574" i="1"/>
  <c r="T574" i="1"/>
  <c r="L575" i="1"/>
  <c r="M575" i="1"/>
  <c r="N575" i="1"/>
  <c r="O575" i="1"/>
  <c r="P575" i="1"/>
  <c r="Q575" i="1"/>
  <c r="R575" i="1"/>
  <c r="S575" i="1"/>
  <c r="T575" i="1"/>
  <c r="L576" i="1"/>
  <c r="M576" i="1"/>
  <c r="N576" i="1"/>
  <c r="O576" i="1"/>
  <c r="P576" i="1"/>
  <c r="Q576" i="1"/>
  <c r="R576" i="1"/>
  <c r="S576" i="1"/>
  <c r="T576" i="1"/>
  <c r="L577" i="1"/>
  <c r="M577" i="1"/>
  <c r="N577" i="1"/>
  <c r="O577" i="1"/>
  <c r="P577" i="1"/>
  <c r="Q577" i="1"/>
  <c r="R577" i="1"/>
  <c r="S577" i="1"/>
  <c r="T577" i="1"/>
  <c r="L578" i="1"/>
  <c r="M578" i="1"/>
  <c r="N578" i="1"/>
  <c r="O578" i="1"/>
  <c r="P578" i="1"/>
  <c r="Q578" i="1"/>
  <c r="R578" i="1"/>
  <c r="S578" i="1"/>
  <c r="T578" i="1"/>
  <c r="L579" i="1"/>
  <c r="M579" i="1"/>
  <c r="N579" i="1"/>
  <c r="O579" i="1"/>
  <c r="P579" i="1"/>
  <c r="Q579" i="1"/>
  <c r="R579" i="1"/>
  <c r="S579" i="1"/>
  <c r="T579" i="1"/>
  <c r="L580" i="1"/>
  <c r="M580" i="1"/>
  <c r="N580" i="1"/>
  <c r="O580" i="1"/>
  <c r="P580" i="1"/>
  <c r="Q580" i="1"/>
  <c r="R580" i="1"/>
  <c r="S580" i="1"/>
  <c r="T580" i="1"/>
  <c r="L581" i="1"/>
  <c r="M581" i="1"/>
  <c r="N581" i="1"/>
  <c r="O581" i="1"/>
  <c r="P581" i="1"/>
  <c r="Q581" i="1"/>
  <c r="R581" i="1"/>
  <c r="S581" i="1"/>
  <c r="T581" i="1"/>
  <c r="L582" i="1"/>
  <c r="M582" i="1"/>
  <c r="N582" i="1"/>
  <c r="O582" i="1"/>
  <c r="P582" i="1"/>
  <c r="Q582" i="1"/>
  <c r="R582" i="1"/>
  <c r="S582" i="1"/>
  <c r="T582" i="1"/>
  <c r="L583" i="1"/>
  <c r="M583" i="1"/>
  <c r="N583" i="1"/>
  <c r="O583" i="1"/>
  <c r="P583" i="1"/>
  <c r="Q583" i="1"/>
  <c r="R583" i="1"/>
  <c r="S583" i="1"/>
  <c r="T583" i="1"/>
  <c r="L584" i="1"/>
  <c r="M584" i="1"/>
  <c r="N584" i="1"/>
  <c r="O584" i="1"/>
  <c r="P584" i="1"/>
  <c r="Q584" i="1"/>
  <c r="R584" i="1"/>
  <c r="S584" i="1"/>
  <c r="T584" i="1"/>
  <c r="L585" i="1"/>
  <c r="M585" i="1"/>
  <c r="N585" i="1"/>
  <c r="O585" i="1"/>
  <c r="P585" i="1"/>
  <c r="Q585" i="1"/>
  <c r="R585" i="1"/>
  <c r="S585" i="1"/>
  <c r="T585" i="1"/>
  <c r="L586" i="1"/>
  <c r="M586" i="1"/>
  <c r="N586" i="1"/>
  <c r="O586" i="1"/>
  <c r="P586" i="1"/>
  <c r="Q586" i="1"/>
  <c r="R586" i="1"/>
  <c r="S586" i="1"/>
  <c r="T586" i="1"/>
  <c r="L587" i="1"/>
  <c r="M587" i="1"/>
  <c r="N587" i="1"/>
  <c r="O587" i="1"/>
  <c r="P587" i="1"/>
  <c r="Q587" i="1"/>
  <c r="R587" i="1"/>
  <c r="S587" i="1"/>
  <c r="T587" i="1"/>
  <c r="L588" i="1"/>
  <c r="M588" i="1"/>
  <c r="N588" i="1"/>
  <c r="O588" i="1"/>
  <c r="P588" i="1"/>
  <c r="Q588" i="1"/>
  <c r="R588" i="1"/>
  <c r="S588" i="1"/>
  <c r="T588" i="1"/>
  <c r="L589" i="1"/>
  <c r="M589" i="1"/>
  <c r="N589" i="1"/>
  <c r="O589" i="1"/>
  <c r="P589" i="1"/>
  <c r="Q589" i="1"/>
  <c r="R589" i="1"/>
  <c r="S589" i="1"/>
  <c r="T589" i="1"/>
  <c r="L590" i="1"/>
  <c r="M590" i="1"/>
  <c r="N590" i="1"/>
  <c r="O590" i="1"/>
  <c r="P590" i="1"/>
  <c r="Q590" i="1"/>
  <c r="R590" i="1"/>
  <c r="S590" i="1"/>
  <c r="T590" i="1"/>
  <c r="L591" i="1"/>
  <c r="M591" i="1"/>
  <c r="N591" i="1"/>
  <c r="O591" i="1"/>
  <c r="P591" i="1"/>
  <c r="Q591" i="1"/>
  <c r="R591" i="1"/>
  <c r="S591" i="1"/>
  <c r="T591" i="1"/>
  <c r="L592" i="1"/>
  <c r="M592" i="1"/>
  <c r="N592" i="1"/>
  <c r="O592" i="1"/>
  <c r="P592" i="1"/>
  <c r="Q592" i="1"/>
  <c r="R592" i="1"/>
  <c r="S592" i="1"/>
  <c r="T592" i="1"/>
  <c r="L593" i="1"/>
  <c r="M593" i="1"/>
  <c r="N593" i="1"/>
  <c r="O593" i="1"/>
  <c r="P593" i="1"/>
  <c r="Q593" i="1"/>
  <c r="R593" i="1"/>
  <c r="S593" i="1"/>
  <c r="T593" i="1"/>
  <c r="L594" i="1"/>
  <c r="M594" i="1"/>
  <c r="N594" i="1"/>
  <c r="O594" i="1"/>
  <c r="P594" i="1"/>
  <c r="Q594" i="1"/>
  <c r="R594" i="1"/>
  <c r="S594" i="1"/>
  <c r="T594" i="1"/>
  <c r="L595" i="1"/>
  <c r="M595" i="1"/>
  <c r="N595" i="1"/>
  <c r="O595" i="1"/>
  <c r="P595" i="1"/>
  <c r="Q595" i="1"/>
  <c r="R595" i="1"/>
  <c r="S595" i="1"/>
  <c r="T595" i="1"/>
  <c r="L596" i="1"/>
  <c r="M596" i="1"/>
  <c r="N596" i="1"/>
  <c r="O596" i="1"/>
  <c r="P596" i="1"/>
  <c r="Q596" i="1"/>
  <c r="R596" i="1"/>
  <c r="S596" i="1"/>
  <c r="T596" i="1"/>
  <c r="L597" i="1"/>
  <c r="M597" i="1"/>
  <c r="N597" i="1"/>
  <c r="O597" i="1"/>
  <c r="P597" i="1"/>
  <c r="Q597" i="1"/>
  <c r="R597" i="1"/>
  <c r="S597" i="1"/>
  <c r="T597" i="1"/>
  <c r="L598" i="1"/>
  <c r="M598" i="1"/>
  <c r="N598" i="1"/>
  <c r="O598" i="1"/>
  <c r="P598" i="1"/>
  <c r="Q598" i="1"/>
  <c r="R598" i="1"/>
  <c r="S598" i="1"/>
  <c r="T598" i="1"/>
  <c r="L599" i="1"/>
  <c r="M599" i="1"/>
  <c r="N599" i="1"/>
  <c r="O599" i="1"/>
  <c r="P599" i="1"/>
  <c r="Q599" i="1"/>
  <c r="R599" i="1"/>
  <c r="S599" i="1"/>
  <c r="T599" i="1"/>
  <c r="L600" i="1"/>
  <c r="M600" i="1"/>
  <c r="N600" i="1"/>
  <c r="O600" i="1"/>
  <c r="P600" i="1"/>
  <c r="Q600" i="1"/>
  <c r="R600" i="1"/>
  <c r="S600" i="1"/>
  <c r="T600" i="1"/>
  <c r="L601" i="1"/>
  <c r="M601" i="1"/>
  <c r="N601" i="1"/>
  <c r="O601" i="1"/>
  <c r="P601" i="1"/>
  <c r="Q601" i="1"/>
  <c r="R601" i="1"/>
  <c r="S601" i="1"/>
  <c r="T601" i="1"/>
  <c r="L602" i="1"/>
  <c r="M602" i="1"/>
  <c r="N602" i="1"/>
  <c r="O602" i="1"/>
  <c r="P602" i="1"/>
  <c r="Q602" i="1"/>
  <c r="R602" i="1"/>
  <c r="S602" i="1"/>
  <c r="T602" i="1"/>
  <c r="L603" i="1"/>
  <c r="M603" i="1"/>
  <c r="N603" i="1"/>
  <c r="O603" i="1"/>
  <c r="P603" i="1"/>
  <c r="Q603" i="1"/>
  <c r="R603" i="1"/>
  <c r="S603" i="1"/>
  <c r="T603" i="1"/>
  <c r="L604" i="1"/>
  <c r="M604" i="1"/>
  <c r="N604" i="1"/>
  <c r="O604" i="1"/>
  <c r="P604" i="1"/>
  <c r="Q604" i="1"/>
  <c r="R604" i="1"/>
  <c r="S604" i="1"/>
  <c r="T604" i="1"/>
  <c r="L605" i="1"/>
  <c r="M605" i="1"/>
  <c r="N605" i="1"/>
  <c r="O605" i="1"/>
  <c r="P605" i="1"/>
  <c r="Q605" i="1"/>
  <c r="R605" i="1"/>
  <c r="S605" i="1"/>
  <c r="T605" i="1"/>
  <c r="L606" i="1"/>
  <c r="M606" i="1"/>
  <c r="N606" i="1"/>
  <c r="O606" i="1"/>
  <c r="P606" i="1"/>
  <c r="Q606" i="1"/>
  <c r="R606" i="1"/>
  <c r="S606" i="1"/>
  <c r="T606" i="1"/>
  <c r="L607" i="1"/>
  <c r="M607" i="1"/>
  <c r="N607" i="1"/>
  <c r="O607" i="1"/>
  <c r="P607" i="1"/>
  <c r="Q607" i="1"/>
  <c r="R607" i="1"/>
  <c r="S607" i="1"/>
  <c r="T607" i="1"/>
  <c r="L608" i="1"/>
  <c r="M608" i="1"/>
  <c r="N608" i="1"/>
  <c r="O608" i="1"/>
  <c r="P608" i="1"/>
  <c r="Q608" i="1"/>
  <c r="R608" i="1"/>
  <c r="S608" i="1"/>
  <c r="T608" i="1"/>
  <c r="L609" i="1"/>
  <c r="M609" i="1"/>
  <c r="N609" i="1"/>
  <c r="O609" i="1"/>
  <c r="P609" i="1"/>
  <c r="Q609" i="1"/>
  <c r="R609" i="1"/>
  <c r="S609" i="1"/>
  <c r="T609" i="1"/>
  <c r="L610" i="1"/>
  <c r="M610" i="1"/>
  <c r="N610" i="1"/>
  <c r="O610" i="1"/>
  <c r="P610" i="1"/>
  <c r="Q610" i="1"/>
  <c r="R610" i="1"/>
  <c r="S610" i="1"/>
  <c r="T610" i="1"/>
  <c r="L611" i="1"/>
  <c r="M611" i="1"/>
  <c r="N611" i="1"/>
  <c r="O611" i="1"/>
  <c r="P611" i="1"/>
  <c r="Q611" i="1"/>
  <c r="R611" i="1"/>
  <c r="S611" i="1"/>
  <c r="T611" i="1"/>
  <c r="L612" i="1"/>
  <c r="M612" i="1"/>
  <c r="N612" i="1"/>
  <c r="O612" i="1"/>
  <c r="P612" i="1"/>
  <c r="Q612" i="1"/>
  <c r="R612" i="1"/>
  <c r="S612" i="1"/>
  <c r="T612" i="1"/>
  <c r="L613" i="1"/>
  <c r="M613" i="1"/>
  <c r="N613" i="1"/>
  <c r="O613" i="1"/>
  <c r="P613" i="1"/>
  <c r="Q613" i="1"/>
  <c r="R613" i="1"/>
  <c r="S613" i="1"/>
  <c r="T613" i="1"/>
  <c r="L614" i="1"/>
  <c r="M614" i="1"/>
  <c r="N614" i="1"/>
  <c r="O614" i="1"/>
  <c r="P614" i="1"/>
  <c r="Q614" i="1"/>
  <c r="R614" i="1"/>
  <c r="S614" i="1"/>
  <c r="T614" i="1"/>
  <c r="L615" i="1"/>
  <c r="M615" i="1"/>
  <c r="N615" i="1"/>
  <c r="O615" i="1"/>
  <c r="P615" i="1"/>
  <c r="Q615" i="1"/>
  <c r="R615" i="1"/>
  <c r="S615" i="1"/>
  <c r="T615" i="1"/>
  <c r="L616" i="1"/>
  <c r="M616" i="1"/>
  <c r="N616" i="1"/>
  <c r="O616" i="1"/>
  <c r="P616" i="1"/>
  <c r="Q616" i="1"/>
  <c r="R616" i="1"/>
  <c r="S616" i="1"/>
  <c r="T616" i="1"/>
  <c r="L617" i="1"/>
  <c r="M617" i="1"/>
  <c r="N617" i="1"/>
  <c r="O617" i="1"/>
  <c r="P617" i="1"/>
  <c r="Q617" i="1"/>
  <c r="R617" i="1"/>
  <c r="S617" i="1"/>
  <c r="T617" i="1"/>
  <c r="L618" i="1"/>
  <c r="M618" i="1"/>
  <c r="N618" i="1"/>
  <c r="O618" i="1"/>
  <c r="P618" i="1"/>
  <c r="Q618" i="1"/>
  <c r="R618" i="1"/>
  <c r="S618" i="1"/>
  <c r="T618" i="1"/>
  <c r="L619" i="1"/>
  <c r="M619" i="1"/>
  <c r="N619" i="1"/>
  <c r="O619" i="1"/>
  <c r="P619" i="1"/>
  <c r="Q619" i="1"/>
  <c r="R619" i="1"/>
  <c r="S619" i="1"/>
  <c r="T619" i="1"/>
  <c r="L620" i="1"/>
  <c r="M620" i="1"/>
  <c r="N620" i="1"/>
  <c r="O620" i="1"/>
  <c r="P620" i="1"/>
  <c r="Q620" i="1"/>
  <c r="R620" i="1"/>
  <c r="S620" i="1"/>
  <c r="T620" i="1"/>
  <c r="L621" i="1"/>
  <c r="M621" i="1"/>
  <c r="N621" i="1"/>
  <c r="O621" i="1"/>
  <c r="P621" i="1"/>
  <c r="Q621" i="1"/>
  <c r="R621" i="1"/>
  <c r="S621" i="1"/>
  <c r="T621" i="1"/>
  <c r="L622" i="1"/>
  <c r="M622" i="1"/>
  <c r="N622" i="1"/>
  <c r="O622" i="1"/>
  <c r="P622" i="1"/>
  <c r="Q622" i="1"/>
  <c r="R622" i="1"/>
  <c r="S622" i="1"/>
  <c r="T622" i="1"/>
  <c r="L623" i="1"/>
  <c r="M623" i="1"/>
  <c r="N623" i="1"/>
  <c r="O623" i="1"/>
  <c r="P623" i="1"/>
  <c r="Q623" i="1"/>
  <c r="R623" i="1"/>
  <c r="S623" i="1"/>
  <c r="T623" i="1"/>
  <c r="L624" i="1"/>
  <c r="M624" i="1"/>
  <c r="N624" i="1"/>
  <c r="O624" i="1"/>
  <c r="P624" i="1"/>
  <c r="Q624" i="1"/>
  <c r="R624" i="1"/>
  <c r="S624" i="1"/>
  <c r="T624" i="1"/>
  <c r="L625" i="1"/>
  <c r="M625" i="1"/>
  <c r="N625" i="1"/>
  <c r="O625" i="1"/>
  <c r="P625" i="1"/>
  <c r="Q625" i="1"/>
  <c r="R625" i="1"/>
  <c r="S625" i="1"/>
  <c r="T625" i="1"/>
  <c r="L626" i="1"/>
  <c r="M626" i="1"/>
  <c r="N626" i="1"/>
  <c r="O626" i="1"/>
  <c r="P626" i="1"/>
  <c r="Q626" i="1"/>
  <c r="R626" i="1"/>
  <c r="S626" i="1"/>
  <c r="T626" i="1"/>
  <c r="L627" i="1"/>
  <c r="M627" i="1"/>
  <c r="N627" i="1"/>
  <c r="O627" i="1"/>
  <c r="P627" i="1"/>
  <c r="Q627" i="1"/>
  <c r="R627" i="1"/>
  <c r="S627" i="1"/>
  <c r="T627" i="1"/>
  <c r="L628" i="1"/>
  <c r="M628" i="1"/>
  <c r="N628" i="1"/>
  <c r="O628" i="1"/>
  <c r="P628" i="1"/>
  <c r="Q628" i="1"/>
  <c r="R628" i="1"/>
  <c r="S628" i="1"/>
  <c r="T628" i="1"/>
  <c r="L629" i="1"/>
  <c r="M629" i="1"/>
  <c r="N629" i="1"/>
  <c r="O629" i="1"/>
  <c r="P629" i="1"/>
  <c r="Q629" i="1"/>
  <c r="R629" i="1"/>
  <c r="S629" i="1"/>
  <c r="T629" i="1"/>
  <c r="L630" i="1"/>
  <c r="M630" i="1"/>
  <c r="N630" i="1"/>
  <c r="O630" i="1"/>
  <c r="P630" i="1"/>
  <c r="Q630" i="1"/>
  <c r="R630" i="1"/>
  <c r="S630" i="1"/>
  <c r="T630" i="1"/>
  <c r="L631" i="1"/>
  <c r="M631" i="1"/>
  <c r="N631" i="1"/>
  <c r="O631" i="1"/>
  <c r="P631" i="1"/>
  <c r="Q631" i="1"/>
  <c r="R631" i="1"/>
  <c r="S631" i="1"/>
  <c r="T631" i="1"/>
  <c r="L632" i="1"/>
  <c r="M632" i="1"/>
  <c r="N632" i="1"/>
  <c r="O632" i="1"/>
  <c r="P632" i="1"/>
  <c r="Q632" i="1"/>
  <c r="R632" i="1"/>
  <c r="S632" i="1"/>
  <c r="T632" i="1"/>
  <c r="L633" i="1"/>
  <c r="M633" i="1"/>
  <c r="N633" i="1"/>
  <c r="O633" i="1"/>
  <c r="P633" i="1"/>
  <c r="Q633" i="1"/>
  <c r="R633" i="1"/>
  <c r="S633" i="1"/>
  <c r="T633" i="1"/>
  <c r="L634" i="1"/>
  <c r="M634" i="1"/>
  <c r="N634" i="1"/>
  <c r="O634" i="1"/>
  <c r="P634" i="1"/>
  <c r="Q634" i="1"/>
  <c r="R634" i="1"/>
  <c r="S634" i="1"/>
  <c r="T634" i="1"/>
  <c r="L635" i="1"/>
  <c r="M635" i="1"/>
  <c r="N635" i="1"/>
  <c r="O635" i="1"/>
  <c r="P635" i="1"/>
  <c r="Q635" i="1"/>
  <c r="R635" i="1"/>
  <c r="S635" i="1"/>
  <c r="T635" i="1"/>
  <c r="L636" i="1"/>
  <c r="M636" i="1"/>
  <c r="N636" i="1"/>
  <c r="O636" i="1"/>
  <c r="P636" i="1"/>
  <c r="Q636" i="1"/>
  <c r="R636" i="1"/>
  <c r="S636" i="1"/>
  <c r="T636" i="1"/>
  <c r="L637" i="1"/>
  <c r="M637" i="1"/>
  <c r="N637" i="1"/>
  <c r="O637" i="1"/>
  <c r="P637" i="1"/>
  <c r="Q637" i="1"/>
  <c r="R637" i="1"/>
  <c r="S637" i="1"/>
  <c r="T637" i="1"/>
  <c r="L313" i="1"/>
  <c r="M313" i="1"/>
  <c r="N313" i="1"/>
  <c r="O313" i="1"/>
  <c r="P313" i="1"/>
  <c r="Q313" i="1"/>
  <c r="R313" i="1"/>
  <c r="S313" i="1"/>
  <c r="T313" i="1"/>
  <c r="L314" i="1"/>
  <c r="M314" i="1"/>
  <c r="N314" i="1"/>
  <c r="O314" i="1"/>
  <c r="P314" i="1"/>
  <c r="Q314" i="1"/>
  <c r="R314" i="1"/>
  <c r="S314" i="1"/>
  <c r="T314" i="1"/>
  <c r="L315" i="1"/>
  <c r="M315" i="1"/>
  <c r="N315" i="1"/>
  <c r="O315" i="1"/>
  <c r="P315" i="1"/>
  <c r="Q315" i="1"/>
  <c r="R315" i="1"/>
  <c r="S315" i="1"/>
  <c r="T315" i="1"/>
  <c r="L316" i="1"/>
  <c r="M316" i="1"/>
  <c r="N316" i="1"/>
  <c r="O316" i="1"/>
  <c r="P316" i="1"/>
  <c r="Q316" i="1"/>
  <c r="R316" i="1"/>
  <c r="S316" i="1"/>
  <c r="T316" i="1"/>
  <c r="L317" i="1"/>
  <c r="M317" i="1"/>
  <c r="N317" i="1"/>
  <c r="O317" i="1"/>
  <c r="P317" i="1"/>
  <c r="Q317" i="1"/>
  <c r="R317" i="1"/>
  <c r="S317" i="1"/>
  <c r="T317" i="1"/>
  <c r="L318" i="1"/>
  <c r="M318" i="1"/>
  <c r="N318" i="1"/>
  <c r="O318" i="1"/>
  <c r="P318" i="1"/>
  <c r="Q318" i="1"/>
  <c r="R318" i="1"/>
  <c r="S318" i="1"/>
  <c r="T318" i="1"/>
  <c r="L319" i="1"/>
  <c r="M319" i="1"/>
  <c r="N319" i="1"/>
  <c r="O319" i="1"/>
  <c r="P319" i="1"/>
  <c r="Q319" i="1"/>
  <c r="R319" i="1"/>
  <c r="S319" i="1"/>
  <c r="T319" i="1"/>
  <c r="L320" i="1"/>
  <c r="M320" i="1"/>
  <c r="N320" i="1"/>
  <c r="O320" i="1"/>
  <c r="P320" i="1"/>
  <c r="Q320" i="1"/>
  <c r="R320" i="1"/>
  <c r="S320" i="1"/>
  <c r="T320" i="1"/>
  <c r="L321" i="1"/>
  <c r="M321" i="1"/>
  <c r="N321" i="1"/>
  <c r="O321" i="1"/>
  <c r="P321" i="1"/>
  <c r="Q321" i="1"/>
  <c r="R321" i="1"/>
  <c r="S321" i="1"/>
  <c r="T321" i="1"/>
  <c r="L322" i="1"/>
  <c r="M322" i="1"/>
  <c r="N322" i="1"/>
  <c r="O322" i="1"/>
  <c r="P322" i="1"/>
  <c r="Q322" i="1"/>
  <c r="R322" i="1"/>
  <c r="S322" i="1"/>
  <c r="T322" i="1"/>
  <c r="L323" i="1"/>
  <c r="M323" i="1"/>
  <c r="N323" i="1"/>
  <c r="O323" i="1"/>
  <c r="P323" i="1"/>
  <c r="Q323" i="1"/>
  <c r="R323" i="1"/>
  <c r="S323" i="1"/>
  <c r="T323" i="1"/>
  <c r="L324" i="1"/>
  <c r="M324" i="1"/>
  <c r="N324" i="1"/>
  <c r="O324" i="1"/>
  <c r="P324" i="1"/>
  <c r="Q324" i="1"/>
  <c r="R324" i="1"/>
  <c r="S324" i="1"/>
  <c r="T324" i="1"/>
  <c r="L325" i="1"/>
  <c r="M325" i="1"/>
  <c r="N325" i="1"/>
  <c r="O325" i="1"/>
  <c r="P325" i="1"/>
  <c r="Q325" i="1"/>
  <c r="R325" i="1"/>
  <c r="S325" i="1"/>
  <c r="T325" i="1"/>
  <c r="L326" i="1"/>
  <c r="M326" i="1"/>
  <c r="N326" i="1"/>
  <c r="O326" i="1"/>
  <c r="P326" i="1"/>
  <c r="Q326" i="1"/>
  <c r="R326" i="1"/>
  <c r="S326" i="1"/>
  <c r="T326" i="1"/>
  <c r="L327" i="1"/>
  <c r="M327" i="1"/>
  <c r="N327" i="1"/>
  <c r="O327" i="1"/>
  <c r="P327" i="1"/>
  <c r="Q327" i="1"/>
  <c r="R327" i="1"/>
  <c r="S327" i="1"/>
  <c r="T327" i="1"/>
  <c r="L328" i="1"/>
  <c r="M328" i="1"/>
  <c r="N328" i="1"/>
  <c r="O328" i="1"/>
  <c r="P328" i="1"/>
  <c r="Q328" i="1"/>
  <c r="R328" i="1"/>
  <c r="S328" i="1"/>
  <c r="T328" i="1"/>
  <c r="L329" i="1"/>
  <c r="M329" i="1"/>
  <c r="N329" i="1"/>
  <c r="O329" i="1"/>
  <c r="P329" i="1"/>
  <c r="Q329" i="1"/>
  <c r="R329" i="1"/>
  <c r="S329" i="1"/>
  <c r="T329" i="1"/>
  <c r="L330" i="1"/>
  <c r="M330" i="1"/>
  <c r="N330" i="1"/>
  <c r="O330" i="1"/>
  <c r="P330" i="1"/>
  <c r="Q330" i="1"/>
  <c r="R330" i="1"/>
  <c r="S330" i="1"/>
  <c r="T330" i="1"/>
  <c r="L331" i="1"/>
  <c r="M331" i="1"/>
  <c r="N331" i="1"/>
  <c r="O331" i="1"/>
  <c r="P331" i="1"/>
  <c r="Q331" i="1"/>
  <c r="R331" i="1"/>
  <c r="S331" i="1"/>
  <c r="T331" i="1"/>
  <c r="L332" i="1"/>
  <c r="M332" i="1"/>
  <c r="N332" i="1"/>
  <c r="O332" i="1"/>
  <c r="P332" i="1"/>
  <c r="Q332" i="1"/>
  <c r="R332" i="1"/>
  <c r="S332" i="1"/>
  <c r="T332" i="1"/>
  <c r="L333" i="1"/>
  <c r="M333" i="1"/>
  <c r="N333" i="1"/>
  <c r="O333" i="1"/>
  <c r="P333" i="1"/>
  <c r="Q333" i="1"/>
  <c r="R333" i="1"/>
  <c r="S333" i="1"/>
  <c r="T333" i="1"/>
  <c r="L334" i="1"/>
  <c r="M334" i="1"/>
  <c r="N334" i="1"/>
  <c r="O334" i="1"/>
  <c r="P334" i="1"/>
  <c r="Q334" i="1"/>
  <c r="R334" i="1"/>
  <c r="S334" i="1"/>
  <c r="T334" i="1"/>
  <c r="L335" i="1"/>
  <c r="M335" i="1"/>
  <c r="N335" i="1"/>
  <c r="O335" i="1"/>
  <c r="P335" i="1"/>
  <c r="Q335" i="1"/>
  <c r="R335" i="1"/>
  <c r="S335" i="1"/>
  <c r="T335" i="1"/>
  <c r="L336" i="1"/>
  <c r="M336" i="1"/>
  <c r="N336" i="1"/>
  <c r="O336" i="1"/>
  <c r="P336" i="1"/>
  <c r="Q336" i="1"/>
  <c r="R336" i="1"/>
  <c r="S336" i="1"/>
  <c r="T336" i="1"/>
  <c r="L337" i="1"/>
  <c r="M337" i="1"/>
  <c r="N337" i="1"/>
  <c r="O337" i="1"/>
  <c r="P337" i="1"/>
  <c r="Q337" i="1"/>
  <c r="R337" i="1"/>
  <c r="S337" i="1"/>
  <c r="T337" i="1"/>
  <c r="L338" i="1"/>
  <c r="M338" i="1"/>
  <c r="N338" i="1"/>
  <c r="O338" i="1"/>
  <c r="P338" i="1"/>
  <c r="Q338" i="1"/>
  <c r="R338" i="1"/>
  <c r="S338" i="1"/>
  <c r="T338" i="1"/>
  <c r="L339" i="1"/>
  <c r="M339" i="1"/>
  <c r="N339" i="1"/>
  <c r="O339" i="1"/>
  <c r="P339" i="1"/>
  <c r="Q339" i="1"/>
  <c r="R339" i="1"/>
  <c r="S339" i="1"/>
  <c r="T339" i="1"/>
  <c r="L340" i="1"/>
  <c r="M340" i="1"/>
  <c r="N340" i="1"/>
  <c r="O340" i="1"/>
  <c r="P340" i="1"/>
  <c r="Q340" i="1"/>
  <c r="R340" i="1"/>
  <c r="S340" i="1"/>
  <c r="T340" i="1"/>
  <c r="L341" i="1"/>
  <c r="M341" i="1"/>
  <c r="N341" i="1"/>
  <c r="O341" i="1"/>
  <c r="P341" i="1"/>
  <c r="Q341" i="1"/>
  <c r="R341" i="1"/>
  <c r="S341" i="1"/>
  <c r="T341" i="1"/>
  <c r="L342" i="1"/>
  <c r="M342" i="1"/>
  <c r="N342" i="1"/>
  <c r="O342" i="1"/>
  <c r="P342" i="1"/>
  <c r="Q342" i="1"/>
  <c r="R342" i="1"/>
  <c r="S342" i="1"/>
  <c r="T342" i="1"/>
  <c r="L343" i="1"/>
  <c r="M343" i="1"/>
  <c r="N343" i="1"/>
  <c r="O343" i="1"/>
  <c r="P343" i="1"/>
  <c r="Q343" i="1"/>
  <c r="R343" i="1"/>
  <c r="S343" i="1"/>
  <c r="T343" i="1"/>
  <c r="L344" i="1"/>
  <c r="M344" i="1"/>
  <c r="N344" i="1"/>
  <c r="O344" i="1"/>
  <c r="P344" i="1"/>
  <c r="Q344" i="1"/>
  <c r="R344" i="1"/>
  <c r="S344" i="1"/>
  <c r="T344" i="1"/>
  <c r="L345" i="1"/>
  <c r="M345" i="1"/>
  <c r="N345" i="1"/>
  <c r="O345" i="1"/>
  <c r="P345" i="1"/>
  <c r="Q345" i="1"/>
  <c r="R345" i="1"/>
  <c r="S345" i="1"/>
  <c r="T345" i="1"/>
  <c r="L288" i="1"/>
  <c r="M288" i="1"/>
  <c r="N288" i="1"/>
  <c r="O288" i="1"/>
  <c r="P288" i="1"/>
  <c r="Q288" i="1"/>
  <c r="R288" i="1"/>
  <c r="S288" i="1"/>
  <c r="T288" i="1"/>
  <c r="L289" i="1"/>
  <c r="M289" i="1"/>
  <c r="N289" i="1"/>
  <c r="O289" i="1"/>
  <c r="P289" i="1"/>
  <c r="Q289" i="1"/>
  <c r="R289" i="1"/>
  <c r="S289" i="1"/>
  <c r="T289" i="1"/>
  <c r="L290" i="1"/>
  <c r="M290" i="1"/>
  <c r="N290" i="1"/>
  <c r="O290" i="1"/>
  <c r="P290" i="1"/>
  <c r="Q290" i="1"/>
  <c r="R290" i="1"/>
  <c r="S290" i="1"/>
  <c r="T290" i="1"/>
  <c r="L291" i="1"/>
  <c r="M291" i="1"/>
  <c r="N291" i="1"/>
  <c r="O291" i="1"/>
  <c r="P291" i="1"/>
  <c r="Q291" i="1"/>
  <c r="R291" i="1"/>
  <c r="S291" i="1"/>
  <c r="T291" i="1"/>
  <c r="L292" i="1"/>
  <c r="M292" i="1"/>
  <c r="N292" i="1"/>
  <c r="O292" i="1"/>
  <c r="P292" i="1"/>
  <c r="Q292" i="1"/>
  <c r="R292" i="1"/>
  <c r="S292" i="1"/>
  <c r="T292" i="1"/>
  <c r="L293" i="1"/>
  <c r="M293" i="1"/>
  <c r="N293" i="1"/>
  <c r="O293" i="1"/>
  <c r="P293" i="1"/>
  <c r="Q293" i="1"/>
  <c r="R293" i="1"/>
  <c r="S293" i="1"/>
  <c r="T293" i="1"/>
  <c r="L294" i="1"/>
  <c r="M294" i="1"/>
  <c r="N294" i="1"/>
  <c r="O294" i="1"/>
  <c r="P294" i="1"/>
  <c r="Q294" i="1"/>
  <c r="R294" i="1"/>
  <c r="S294" i="1"/>
  <c r="T294" i="1"/>
  <c r="L295" i="1"/>
  <c r="M295" i="1"/>
  <c r="N295" i="1"/>
  <c r="O295" i="1"/>
  <c r="P295" i="1"/>
  <c r="Q295" i="1"/>
  <c r="R295" i="1"/>
  <c r="S295" i="1"/>
  <c r="T295" i="1"/>
  <c r="L296" i="1"/>
  <c r="M296" i="1"/>
  <c r="N296" i="1"/>
  <c r="O296" i="1"/>
  <c r="P296" i="1"/>
  <c r="Q296" i="1"/>
  <c r="R296" i="1"/>
  <c r="S296" i="1"/>
  <c r="T296" i="1"/>
  <c r="L297" i="1"/>
  <c r="M297" i="1"/>
  <c r="N297" i="1"/>
  <c r="O297" i="1"/>
  <c r="P297" i="1"/>
  <c r="Q297" i="1"/>
  <c r="R297" i="1"/>
  <c r="S297" i="1"/>
  <c r="T297" i="1"/>
  <c r="L298" i="1"/>
  <c r="M298" i="1"/>
  <c r="N298" i="1"/>
  <c r="O298" i="1"/>
  <c r="P298" i="1"/>
  <c r="Q298" i="1"/>
  <c r="R298" i="1"/>
  <c r="S298" i="1"/>
  <c r="T298" i="1"/>
  <c r="L299" i="1"/>
  <c r="M299" i="1"/>
  <c r="N299" i="1"/>
  <c r="O299" i="1"/>
  <c r="P299" i="1"/>
  <c r="Q299" i="1"/>
  <c r="R299" i="1"/>
  <c r="S299" i="1"/>
  <c r="T299" i="1"/>
  <c r="L300" i="1"/>
  <c r="M300" i="1"/>
  <c r="N300" i="1"/>
  <c r="O300" i="1"/>
  <c r="P300" i="1"/>
  <c r="Q300" i="1"/>
  <c r="R300" i="1"/>
  <c r="S300" i="1"/>
  <c r="T300" i="1"/>
  <c r="L301" i="1"/>
  <c r="M301" i="1"/>
  <c r="N301" i="1"/>
  <c r="O301" i="1"/>
  <c r="P301" i="1"/>
  <c r="Q301" i="1"/>
  <c r="R301" i="1"/>
  <c r="S301" i="1"/>
  <c r="T301" i="1"/>
  <c r="L302" i="1"/>
  <c r="M302" i="1"/>
  <c r="N302" i="1"/>
  <c r="O302" i="1"/>
  <c r="P302" i="1"/>
  <c r="Q302" i="1"/>
  <c r="R302" i="1"/>
  <c r="S302" i="1"/>
  <c r="T302" i="1"/>
  <c r="L303" i="1"/>
  <c r="M303" i="1"/>
  <c r="N303" i="1"/>
  <c r="O303" i="1"/>
  <c r="P303" i="1"/>
  <c r="Q303" i="1"/>
  <c r="R303" i="1"/>
  <c r="S303" i="1"/>
  <c r="T303" i="1"/>
  <c r="L304" i="1"/>
  <c r="M304" i="1"/>
  <c r="N304" i="1"/>
  <c r="O304" i="1"/>
  <c r="P304" i="1"/>
  <c r="Q304" i="1"/>
  <c r="R304" i="1"/>
  <c r="S304" i="1"/>
  <c r="T304" i="1"/>
  <c r="L305" i="1"/>
  <c r="M305" i="1"/>
  <c r="N305" i="1"/>
  <c r="O305" i="1"/>
  <c r="P305" i="1"/>
  <c r="Q305" i="1"/>
  <c r="R305" i="1"/>
  <c r="S305" i="1"/>
  <c r="T305" i="1"/>
  <c r="L306" i="1"/>
  <c r="M306" i="1"/>
  <c r="N306" i="1"/>
  <c r="O306" i="1"/>
  <c r="P306" i="1"/>
  <c r="Q306" i="1"/>
  <c r="R306" i="1"/>
  <c r="S306" i="1"/>
  <c r="T306" i="1"/>
  <c r="L307" i="1"/>
  <c r="M307" i="1"/>
  <c r="N307" i="1"/>
  <c r="O307" i="1"/>
  <c r="P307" i="1"/>
  <c r="Q307" i="1"/>
  <c r="R307" i="1"/>
  <c r="S307" i="1"/>
  <c r="T307" i="1"/>
  <c r="L308" i="1"/>
  <c r="M308" i="1"/>
  <c r="N308" i="1"/>
  <c r="O308" i="1"/>
  <c r="P308" i="1"/>
  <c r="Q308" i="1"/>
  <c r="R308" i="1"/>
  <c r="S308" i="1"/>
  <c r="T308" i="1"/>
  <c r="L309" i="1"/>
  <c r="M309" i="1"/>
  <c r="N309" i="1"/>
  <c r="O309" i="1"/>
  <c r="P309" i="1"/>
  <c r="Q309" i="1"/>
  <c r="R309" i="1"/>
  <c r="S309" i="1"/>
  <c r="T309" i="1"/>
  <c r="L310" i="1"/>
  <c r="M310" i="1"/>
  <c r="N310" i="1"/>
  <c r="O310" i="1"/>
  <c r="P310" i="1"/>
  <c r="Q310" i="1"/>
  <c r="R310" i="1"/>
  <c r="S310" i="1"/>
  <c r="T310" i="1"/>
  <c r="L311" i="1"/>
  <c r="M311" i="1"/>
  <c r="N311" i="1"/>
  <c r="O311" i="1"/>
  <c r="P311" i="1"/>
  <c r="Q311" i="1"/>
  <c r="R311" i="1"/>
  <c r="S311" i="1"/>
  <c r="T311" i="1"/>
  <c r="L312" i="1"/>
  <c r="M312" i="1"/>
  <c r="N312" i="1"/>
  <c r="O312" i="1"/>
  <c r="P312" i="1"/>
  <c r="Q312" i="1"/>
  <c r="R312" i="1"/>
  <c r="S312" i="1"/>
  <c r="T312" i="1"/>
  <c r="L259" i="1"/>
  <c r="M259" i="1"/>
  <c r="N259" i="1"/>
  <c r="O259" i="1"/>
  <c r="P259" i="1"/>
  <c r="Q259" i="1"/>
  <c r="R259" i="1"/>
  <c r="S259" i="1"/>
  <c r="T259" i="1"/>
  <c r="L260" i="1"/>
  <c r="M260" i="1"/>
  <c r="N260" i="1"/>
  <c r="O260" i="1"/>
  <c r="P260" i="1"/>
  <c r="Q260" i="1"/>
  <c r="R260" i="1"/>
  <c r="S260" i="1"/>
  <c r="T260" i="1"/>
  <c r="L261" i="1"/>
  <c r="M261" i="1"/>
  <c r="N261" i="1"/>
  <c r="O261" i="1"/>
  <c r="P261" i="1"/>
  <c r="Q261" i="1"/>
  <c r="R261" i="1"/>
  <c r="S261" i="1"/>
  <c r="T261" i="1"/>
  <c r="L262" i="1"/>
  <c r="M262" i="1"/>
  <c r="N262" i="1"/>
  <c r="O262" i="1"/>
  <c r="P262" i="1"/>
  <c r="Q262" i="1"/>
  <c r="R262" i="1"/>
  <c r="S262" i="1"/>
  <c r="T262" i="1"/>
  <c r="L263" i="1"/>
  <c r="M263" i="1"/>
  <c r="N263" i="1"/>
  <c r="O263" i="1"/>
  <c r="P263" i="1"/>
  <c r="Q263" i="1"/>
  <c r="R263" i="1"/>
  <c r="S263" i="1"/>
  <c r="T263" i="1"/>
  <c r="L264" i="1"/>
  <c r="M264" i="1"/>
  <c r="N264" i="1"/>
  <c r="O264" i="1"/>
  <c r="P264" i="1"/>
  <c r="Q264" i="1"/>
  <c r="R264" i="1"/>
  <c r="S264" i="1"/>
  <c r="T264" i="1"/>
  <c r="L265" i="1"/>
  <c r="M265" i="1"/>
  <c r="N265" i="1"/>
  <c r="O265" i="1"/>
  <c r="P265" i="1"/>
  <c r="Q265" i="1"/>
  <c r="R265" i="1"/>
  <c r="S265" i="1"/>
  <c r="T265" i="1"/>
  <c r="L266" i="1"/>
  <c r="M266" i="1"/>
  <c r="N266" i="1"/>
  <c r="O266" i="1"/>
  <c r="P266" i="1"/>
  <c r="Q266" i="1"/>
  <c r="R266" i="1"/>
  <c r="S266" i="1"/>
  <c r="T266" i="1"/>
  <c r="L267" i="1"/>
  <c r="M267" i="1"/>
  <c r="N267" i="1"/>
  <c r="O267" i="1"/>
  <c r="P267" i="1"/>
  <c r="Q267" i="1"/>
  <c r="R267" i="1"/>
  <c r="S267" i="1"/>
  <c r="T267" i="1"/>
  <c r="L268" i="1"/>
  <c r="M268" i="1"/>
  <c r="N268" i="1"/>
  <c r="O268" i="1"/>
  <c r="P268" i="1"/>
  <c r="Q268" i="1"/>
  <c r="R268" i="1"/>
  <c r="S268" i="1"/>
  <c r="T268" i="1"/>
  <c r="L269" i="1"/>
  <c r="M269" i="1"/>
  <c r="N269" i="1"/>
  <c r="O269" i="1"/>
  <c r="P269" i="1"/>
  <c r="Q269" i="1"/>
  <c r="R269" i="1"/>
  <c r="S269" i="1"/>
  <c r="T269" i="1"/>
  <c r="L270" i="1"/>
  <c r="M270" i="1"/>
  <c r="N270" i="1"/>
  <c r="O270" i="1"/>
  <c r="P270" i="1"/>
  <c r="Q270" i="1"/>
  <c r="R270" i="1"/>
  <c r="S270" i="1"/>
  <c r="T270" i="1"/>
  <c r="L271" i="1"/>
  <c r="M271" i="1"/>
  <c r="N271" i="1"/>
  <c r="O271" i="1"/>
  <c r="P271" i="1"/>
  <c r="Q271" i="1"/>
  <c r="R271" i="1"/>
  <c r="S271" i="1"/>
  <c r="T271" i="1"/>
  <c r="L272" i="1"/>
  <c r="M272" i="1"/>
  <c r="N272" i="1"/>
  <c r="O272" i="1"/>
  <c r="P272" i="1"/>
  <c r="Q272" i="1"/>
  <c r="R272" i="1"/>
  <c r="S272" i="1"/>
  <c r="T272" i="1"/>
  <c r="L273" i="1"/>
  <c r="M273" i="1"/>
  <c r="N273" i="1"/>
  <c r="O273" i="1"/>
  <c r="P273" i="1"/>
  <c r="Q273" i="1"/>
  <c r="R273" i="1"/>
  <c r="S273" i="1"/>
  <c r="T273" i="1"/>
  <c r="L274" i="1"/>
  <c r="M274" i="1"/>
  <c r="N274" i="1"/>
  <c r="O274" i="1"/>
  <c r="P274" i="1"/>
  <c r="Q274" i="1"/>
  <c r="R274" i="1"/>
  <c r="S274" i="1"/>
  <c r="T274" i="1"/>
  <c r="L275" i="1"/>
  <c r="M275" i="1"/>
  <c r="N275" i="1"/>
  <c r="O275" i="1"/>
  <c r="P275" i="1"/>
  <c r="Q275" i="1"/>
  <c r="R275" i="1"/>
  <c r="S275" i="1"/>
  <c r="T275" i="1"/>
  <c r="L276" i="1"/>
  <c r="M276" i="1"/>
  <c r="N276" i="1"/>
  <c r="O276" i="1"/>
  <c r="P276" i="1"/>
  <c r="Q276" i="1"/>
  <c r="R276" i="1"/>
  <c r="S276" i="1"/>
  <c r="T276" i="1"/>
  <c r="L277" i="1"/>
  <c r="M277" i="1"/>
  <c r="N277" i="1"/>
  <c r="O277" i="1"/>
  <c r="P277" i="1"/>
  <c r="Q277" i="1"/>
  <c r="R277" i="1"/>
  <c r="S277" i="1"/>
  <c r="T277" i="1"/>
  <c r="L278" i="1"/>
  <c r="M278" i="1"/>
  <c r="N278" i="1"/>
  <c r="O278" i="1"/>
  <c r="P278" i="1"/>
  <c r="Q278" i="1"/>
  <c r="R278" i="1"/>
  <c r="S278" i="1"/>
  <c r="T278" i="1"/>
  <c r="L279" i="1"/>
  <c r="M279" i="1"/>
  <c r="N279" i="1"/>
  <c r="O279" i="1"/>
  <c r="P279" i="1"/>
  <c r="Q279" i="1"/>
  <c r="R279" i="1"/>
  <c r="S279" i="1"/>
  <c r="T279" i="1"/>
  <c r="L280" i="1"/>
  <c r="M280" i="1"/>
  <c r="N280" i="1"/>
  <c r="O280" i="1"/>
  <c r="P280" i="1"/>
  <c r="Q280" i="1"/>
  <c r="R280" i="1"/>
  <c r="S280" i="1"/>
  <c r="T280" i="1"/>
  <c r="L281" i="1"/>
  <c r="M281" i="1"/>
  <c r="N281" i="1"/>
  <c r="O281" i="1"/>
  <c r="P281" i="1"/>
  <c r="Q281" i="1"/>
  <c r="R281" i="1"/>
  <c r="S281" i="1"/>
  <c r="T281" i="1"/>
  <c r="L282" i="1"/>
  <c r="M282" i="1"/>
  <c r="N282" i="1"/>
  <c r="O282" i="1"/>
  <c r="P282" i="1"/>
  <c r="Q282" i="1"/>
  <c r="R282" i="1"/>
  <c r="S282" i="1"/>
  <c r="T282" i="1"/>
  <c r="L283" i="1"/>
  <c r="M283" i="1"/>
  <c r="N283" i="1"/>
  <c r="O283" i="1"/>
  <c r="P283" i="1"/>
  <c r="Q283" i="1"/>
  <c r="R283" i="1"/>
  <c r="S283" i="1"/>
  <c r="T283" i="1"/>
  <c r="L284" i="1"/>
  <c r="M284" i="1"/>
  <c r="N284" i="1"/>
  <c r="O284" i="1"/>
  <c r="P284" i="1"/>
  <c r="Q284" i="1"/>
  <c r="R284" i="1"/>
  <c r="S284" i="1"/>
  <c r="T284" i="1"/>
  <c r="L285" i="1"/>
  <c r="M285" i="1"/>
  <c r="N285" i="1"/>
  <c r="O285" i="1"/>
  <c r="P285" i="1"/>
  <c r="Q285" i="1"/>
  <c r="R285" i="1"/>
  <c r="S285" i="1"/>
  <c r="T285" i="1"/>
  <c r="L286" i="1"/>
  <c r="M286" i="1"/>
  <c r="N286" i="1"/>
  <c r="O286" i="1"/>
  <c r="P286" i="1"/>
  <c r="Q286" i="1"/>
  <c r="R286" i="1"/>
  <c r="S286" i="1"/>
  <c r="T286" i="1"/>
  <c r="L287" i="1"/>
  <c r="M287" i="1"/>
  <c r="N287" i="1"/>
  <c r="O287" i="1"/>
  <c r="P287" i="1"/>
  <c r="Q287" i="1"/>
  <c r="R287" i="1"/>
  <c r="S287" i="1"/>
  <c r="T287" i="1"/>
  <c r="L235" i="1"/>
  <c r="M235" i="1"/>
  <c r="N235" i="1"/>
  <c r="O235" i="1"/>
  <c r="P235" i="1"/>
  <c r="Q235" i="1"/>
  <c r="R235" i="1"/>
  <c r="S235" i="1"/>
  <c r="T235" i="1"/>
  <c r="L236" i="1"/>
  <c r="M236" i="1"/>
  <c r="N236" i="1"/>
  <c r="O236" i="1"/>
  <c r="P236" i="1"/>
  <c r="Q236" i="1"/>
  <c r="R236" i="1"/>
  <c r="S236" i="1"/>
  <c r="T236" i="1"/>
  <c r="L237" i="1"/>
  <c r="M237" i="1"/>
  <c r="N237" i="1"/>
  <c r="O237" i="1"/>
  <c r="P237" i="1"/>
  <c r="Q237" i="1"/>
  <c r="R237" i="1"/>
  <c r="S237" i="1"/>
  <c r="T237" i="1"/>
  <c r="L238" i="1"/>
  <c r="M238" i="1"/>
  <c r="N238" i="1"/>
  <c r="O238" i="1"/>
  <c r="P238" i="1"/>
  <c r="Q238" i="1"/>
  <c r="R238" i="1"/>
  <c r="S238" i="1"/>
  <c r="T238" i="1"/>
  <c r="L239" i="1"/>
  <c r="M239" i="1"/>
  <c r="N239" i="1"/>
  <c r="O239" i="1"/>
  <c r="P239" i="1"/>
  <c r="Q239" i="1"/>
  <c r="R239" i="1"/>
  <c r="S239" i="1"/>
  <c r="T239" i="1"/>
  <c r="L240" i="1"/>
  <c r="M240" i="1"/>
  <c r="N240" i="1"/>
  <c r="O240" i="1"/>
  <c r="P240" i="1"/>
  <c r="Q240" i="1"/>
  <c r="R240" i="1"/>
  <c r="S240" i="1"/>
  <c r="T240" i="1"/>
  <c r="L241" i="1"/>
  <c r="M241" i="1"/>
  <c r="N241" i="1"/>
  <c r="O241" i="1"/>
  <c r="P241" i="1"/>
  <c r="Q241" i="1"/>
  <c r="R241" i="1"/>
  <c r="S241" i="1"/>
  <c r="T241" i="1"/>
  <c r="L242" i="1"/>
  <c r="M242" i="1"/>
  <c r="N242" i="1"/>
  <c r="O242" i="1"/>
  <c r="P242" i="1"/>
  <c r="Q242" i="1"/>
  <c r="R242" i="1"/>
  <c r="S242" i="1"/>
  <c r="T242" i="1"/>
  <c r="L243" i="1"/>
  <c r="M243" i="1"/>
  <c r="N243" i="1"/>
  <c r="O243" i="1"/>
  <c r="P243" i="1"/>
  <c r="Q243" i="1"/>
  <c r="R243" i="1"/>
  <c r="S243" i="1"/>
  <c r="T243" i="1"/>
  <c r="L244" i="1"/>
  <c r="M244" i="1"/>
  <c r="N244" i="1"/>
  <c r="O244" i="1"/>
  <c r="P244" i="1"/>
  <c r="Q244" i="1"/>
  <c r="R244" i="1"/>
  <c r="S244" i="1"/>
  <c r="T244" i="1"/>
  <c r="L245" i="1"/>
  <c r="M245" i="1"/>
  <c r="N245" i="1"/>
  <c r="O245" i="1"/>
  <c r="P245" i="1"/>
  <c r="Q245" i="1"/>
  <c r="R245" i="1"/>
  <c r="S245" i="1"/>
  <c r="T245" i="1"/>
  <c r="L246" i="1"/>
  <c r="M246" i="1"/>
  <c r="N246" i="1"/>
  <c r="O246" i="1"/>
  <c r="P246" i="1"/>
  <c r="Q246" i="1"/>
  <c r="R246" i="1"/>
  <c r="S246" i="1"/>
  <c r="T246" i="1"/>
  <c r="L247" i="1"/>
  <c r="M247" i="1"/>
  <c r="N247" i="1"/>
  <c r="O247" i="1"/>
  <c r="P247" i="1"/>
  <c r="Q247" i="1"/>
  <c r="R247" i="1"/>
  <c r="S247" i="1"/>
  <c r="T247" i="1"/>
  <c r="L248" i="1"/>
  <c r="M248" i="1"/>
  <c r="N248" i="1"/>
  <c r="O248" i="1"/>
  <c r="P248" i="1"/>
  <c r="Q248" i="1"/>
  <c r="R248" i="1"/>
  <c r="S248" i="1"/>
  <c r="T248" i="1"/>
  <c r="L249" i="1"/>
  <c r="M249" i="1"/>
  <c r="N249" i="1"/>
  <c r="O249" i="1"/>
  <c r="P249" i="1"/>
  <c r="Q249" i="1"/>
  <c r="R249" i="1"/>
  <c r="S249" i="1"/>
  <c r="T249" i="1"/>
  <c r="L250" i="1"/>
  <c r="M250" i="1"/>
  <c r="N250" i="1"/>
  <c r="O250" i="1"/>
  <c r="P250" i="1"/>
  <c r="Q250" i="1"/>
  <c r="R250" i="1"/>
  <c r="S250" i="1"/>
  <c r="T250" i="1"/>
  <c r="L251" i="1"/>
  <c r="M251" i="1"/>
  <c r="N251" i="1"/>
  <c r="O251" i="1"/>
  <c r="P251" i="1"/>
  <c r="Q251" i="1"/>
  <c r="R251" i="1"/>
  <c r="S251" i="1"/>
  <c r="T251" i="1"/>
  <c r="L252" i="1"/>
  <c r="M252" i="1"/>
  <c r="N252" i="1"/>
  <c r="O252" i="1"/>
  <c r="P252" i="1"/>
  <c r="Q252" i="1"/>
  <c r="R252" i="1"/>
  <c r="S252" i="1"/>
  <c r="T252" i="1"/>
  <c r="L253" i="1"/>
  <c r="M253" i="1"/>
  <c r="N253" i="1"/>
  <c r="O253" i="1"/>
  <c r="P253" i="1"/>
  <c r="Q253" i="1"/>
  <c r="R253" i="1"/>
  <c r="S253" i="1"/>
  <c r="T253" i="1"/>
  <c r="L254" i="1"/>
  <c r="M254" i="1"/>
  <c r="N254" i="1"/>
  <c r="O254" i="1"/>
  <c r="P254" i="1"/>
  <c r="Q254" i="1"/>
  <c r="R254" i="1"/>
  <c r="S254" i="1"/>
  <c r="T254" i="1"/>
  <c r="L255" i="1"/>
  <c r="M255" i="1"/>
  <c r="N255" i="1"/>
  <c r="O255" i="1"/>
  <c r="P255" i="1"/>
  <c r="Q255" i="1"/>
  <c r="R255" i="1"/>
  <c r="S255" i="1"/>
  <c r="T255" i="1"/>
  <c r="L256" i="1"/>
  <c r="M256" i="1"/>
  <c r="N256" i="1"/>
  <c r="O256" i="1"/>
  <c r="P256" i="1"/>
  <c r="Q256" i="1"/>
  <c r="R256" i="1"/>
  <c r="S256" i="1"/>
  <c r="T256" i="1"/>
  <c r="L257" i="1"/>
  <c r="M257" i="1"/>
  <c r="N257" i="1"/>
  <c r="O257" i="1"/>
  <c r="P257" i="1"/>
  <c r="Q257" i="1"/>
  <c r="R257" i="1"/>
  <c r="S257" i="1"/>
  <c r="T257" i="1"/>
  <c r="L258" i="1"/>
  <c r="M258" i="1"/>
  <c r="N258" i="1"/>
  <c r="O258" i="1"/>
  <c r="P258" i="1"/>
  <c r="Q258" i="1"/>
  <c r="R258" i="1"/>
  <c r="S258" i="1"/>
  <c r="T258" i="1"/>
  <c r="L194" i="1"/>
  <c r="M194" i="1"/>
  <c r="N194" i="1"/>
  <c r="O194" i="1"/>
  <c r="P194" i="1"/>
  <c r="Q194" i="1"/>
  <c r="R194" i="1"/>
  <c r="S194" i="1"/>
  <c r="T194" i="1"/>
  <c r="L195" i="1"/>
  <c r="M195" i="1"/>
  <c r="N195" i="1"/>
  <c r="O195" i="1"/>
  <c r="P195" i="1"/>
  <c r="Q195" i="1"/>
  <c r="R195" i="1"/>
  <c r="S195" i="1"/>
  <c r="T195" i="1"/>
  <c r="L196" i="1"/>
  <c r="M196" i="1"/>
  <c r="N196" i="1"/>
  <c r="O196" i="1"/>
  <c r="P196" i="1"/>
  <c r="Q196" i="1"/>
  <c r="R196" i="1"/>
  <c r="S196" i="1"/>
  <c r="T196" i="1"/>
  <c r="L197" i="1"/>
  <c r="M197" i="1"/>
  <c r="N197" i="1"/>
  <c r="O197" i="1"/>
  <c r="P197" i="1"/>
  <c r="Q197" i="1"/>
  <c r="R197" i="1"/>
  <c r="S197" i="1"/>
  <c r="T197" i="1"/>
  <c r="L198" i="1"/>
  <c r="M198" i="1"/>
  <c r="N198" i="1"/>
  <c r="O198" i="1"/>
  <c r="P198" i="1"/>
  <c r="Q198" i="1"/>
  <c r="R198" i="1"/>
  <c r="S198" i="1"/>
  <c r="T198" i="1"/>
  <c r="L199" i="1"/>
  <c r="M199" i="1"/>
  <c r="N199" i="1"/>
  <c r="O199" i="1"/>
  <c r="P199" i="1"/>
  <c r="Q199" i="1"/>
  <c r="R199" i="1"/>
  <c r="S199" i="1"/>
  <c r="T199" i="1"/>
  <c r="L200" i="1"/>
  <c r="M200" i="1"/>
  <c r="N200" i="1"/>
  <c r="O200" i="1"/>
  <c r="P200" i="1"/>
  <c r="Q200" i="1"/>
  <c r="R200" i="1"/>
  <c r="S200" i="1"/>
  <c r="T200" i="1"/>
  <c r="L201" i="1"/>
  <c r="M201" i="1"/>
  <c r="N201" i="1"/>
  <c r="O201" i="1"/>
  <c r="P201" i="1"/>
  <c r="Q201" i="1"/>
  <c r="R201" i="1"/>
  <c r="S201" i="1"/>
  <c r="T201" i="1"/>
  <c r="L202" i="1"/>
  <c r="M202" i="1"/>
  <c r="N202" i="1"/>
  <c r="O202" i="1"/>
  <c r="P202" i="1"/>
  <c r="Q202" i="1"/>
  <c r="R202" i="1"/>
  <c r="S202" i="1"/>
  <c r="T202" i="1"/>
  <c r="L203" i="1"/>
  <c r="M203" i="1"/>
  <c r="N203" i="1"/>
  <c r="O203" i="1"/>
  <c r="P203" i="1"/>
  <c r="Q203" i="1"/>
  <c r="R203" i="1"/>
  <c r="S203" i="1"/>
  <c r="T203" i="1"/>
  <c r="L204" i="1"/>
  <c r="M204" i="1"/>
  <c r="N204" i="1"/>
  <c r="O204" i="1"/>
  <c r="P204" i="1"/>
  <c r="Q204" i="1"/>
  <c r="R204" i="1"/>
  <c r="S204" i="1"/>
  <c r="T204" i="1"/>
  <c r="L205" i="1"/>
  <c r="M205" i="1"/>
  <c r="N205" i="1"/>
  <c r="O205" i="1"/>
  <c r="P205" i="1"/>
  <c r="Q205" i="1"/>
  <c r="R205" i="1"/>
  <c r="S205" i="1"/>
  <c r="T205" i="1"/>
  <c r="L206" i="1"/>
  <c r="M206" i="1"/>
  <c r="N206" i="1"/>
  <c r="O206" i="1"/>
  <c r="P206" i="1"/>
  <c r="Q206" i="1"/>
  <c r="R206" i="1"/>
  <c r="S206" i="1"/>
  <c r="T206" i="1"/>
  <c r="L207" i="1"/>
  <c r="M207" i="1"/>
  <c r="N207" i="1"/>
  <c r="O207" i="1"/>
  <c r="P207" i="1"/>
  <c r="Q207" i="1"/>
  <c r="R207" i="1"/>
  <c r="S207" i="1"/>
  <c r="T207" i="1"/>
  <c r="L208" i="1"/>
  <c r="M208" i="1"/>
  <c r="N208" i="1"/>
  <c r="O208" i="1"/>
  <c r="P208" i="1"/>
  <c r="Q208" i="1"/>
  <c r="R208" i="1"/>
  <c r="S208" i="1"/>
  <c r="T208" i="1"/>
  <c r="L209" i="1"/>
  <c r="M209" i="1"/>
  <c r="N209" i="1"/>
  <c r="O209" i="1"/>
  <c r="P209" i="1"/>
  <c r="Q209" i="1"/>
  <c r="R209" i="1"/>
  <c r="S209" i="1"/>
  <c r="T209" i="1"/>
  <c r="L210" i="1"/>
  <c r="M210" i="1"/>
  <c r="N210" i="1"/>
  <c r="O210" i="1"/>
  <c r="P210" i="1"/>
  <c r="Q210" i="1"/>
  <c r="R210" i="1"/>
  <c r="S210" i="1"/>
  <c r="T210" i="1"/>
  <c r="L211" i="1"/>
  <c r="M211" i="1"/>
  <c r="N211" i="1"/>
  <c r="O211" i="1"/>
  <c r="P211" i="1"/>
  <c r="Q211" i="1"/>
  <c r="R211" i="1"/>
  <c r="S211" i="1"/>
  <c r="T211" i="1"/>
  <c r="L212" i="1"/>
  <c r="M212" i="1"/>
  <c r="N212" i="1"/>
  <c r="O212" i="1"/>
  <c r="P212" i="1"/>
  <c r="Q212" i="1"/>
  <c r="R212" i="1"/>
  <c r="S212" i="1"/>
  <c r="T212" i="1"/>
  <c r="L213" i="1"/>
  <c r="M213" i="1"/>
  <c r="N213" i="1"/>
  <c r="O213" i="1"/>
  <c r="P213" i="1"/>
  <c r="Q213" i="1"/>
  <c r="R213" i="1"/>
  <c r="S213" i="1"/>
  <c r="T213" i="1"/>
  <c r="L214" i="1"/>
  <c r="M214" i="1"/>
  <c r="N214" i="1"/>
  <c r="O214" i="1"/>
  <c r="P214" i="1"/>
  <c r="Q214" i="1"/>
  <c r="R214" i="1"/>
  <c r="S214" i="1"/>
  <c r="T214" i="1"/>
  <c r="L215" i="1"/>
  <c r="M215" i="1"/>
  <c r="N215" i="1"/>
  <c r="O215" i="1"/>
  <c r="P215" i="1"/>
  <c r="Q215" i="1"/>
  <c r="R215" i="1"/>
  <c r="S215" i="1"/>
  <c r="T215" i="1"/>
  <c r="L216" i="1"/>
  <c r="M216" i="1"/>
  <c r="N216" i="1"/>
  <c r="O216" i="1"/>
  <c r="P216" i="1"/>
  <c r="Q216" i="1"/>
  <c r="R216" i="1"/>
  <c r="S216" i="1"/>
  <c r="T216" i="1"/>
  <c r="L217" i="1"/>
  <c r="M217" i="1"/>
  <c r="N217" i="1"/>
  <c r="O217" i="1"/>
  <c r="P217" i="1"/>
  <c r="Q217" i="1"/>
  <c r="R217" i="1"/>
  <c r="S217" i="1"/>
  <c r="T217" i="1"/>
  <c r="L218" i="1"/>
  <c r="M218" i="1"/>
  <c r="N218" i="1"/>
  <c r="O218" i="1"/>
  <c r="P218" i="1"/>
  <c r="Q218" i="1"/>
  <c r="R218" i="1"/>
  <c r="S218" i="1"/>
  <c r="T218" i="1"/>
  <c r="L219" i="1"/>
  <c r="M219" i="1"/>
  <c r="N219" i="1"/>
  <c r="O219" i="1"/>
  <c r="P219" i="1"/>
  <c r="Q219" i="1"/>
  <c r="R219" i="1"/>
  <c r="S219" i="1"/>
  <c r="T219" i="1"/>
  <c r="L220" i="1"/>
  <c r="M220" i="1"/>
  <c r="N220" i="1"/>
  <c r="O220" i="1"/>
  <c r="P220" i="1"/>
  <c r="Q220" i="1"/>
  <c r="R220" i="1"/>
  <c r="S220" i="1"/>
  <c r="T220" i="1"/>
  <c r="L221" i="1"/>
  <c r="M221" i="1"/>
  <c r="N221" i="1"/>
  <c r="O221" i="1"/>
  <c r="P221" i="1"/>
  <c r="Q221" i="1"/>
  <c r="R221" i="1"/>
  <c r="S221" i="1"/>
  <c r="T221" i="1"/>
  <c r="L222" i="1"/>
  <c r="M222" i="1"/>
  <c r="N222" i="1"/>
  <c r="O222" i="1"/>
  <c r="P222" i="1"/>
  <c r="Q222" i="1"/>
  <c r="R222" i="1"/>
  <c r="S222" i="1"/>
  <c r="T222" i="1"/>
  <c r="L223" i="1"/>
  <c r="M223" i="1"/>
  <c r="N223" i="1"/>
  <c r="O223" i="1"/>
  <c r="P223" i="1"/>
  <c r="Q223" i="1"/>
  <c r="R223" i="1"/>
  <c r="S223" i="1"/>
  <c r="T223" i="1"/>
  <c r="L224" i="1"/>
  <c r="M224" i="1"/>
  <c r="N224" i="1"/>
  <c r="O224" i="1"/>
  <c r="P224" i="1"/>
  <c r="Q224" i="1"/>
  <c r="R224" i="1"/>
  <c r="S224" i="1"/>
  <c r="T224" i="1"/>
  <c r="L225" i="1"/>
  <c r="M225" i="1"/>
  <c r="N225" i="1"/>
  <c r="O225" i="1"/>
  <c r="P225" i="1"/>
  <c r="Q225" i="1"/>
  <c r="R225" i="1"/>
  <c r="S225" i="1"/>
  <c r="T225" i="1"/>
  <c r="L226" i="1"/>
  <c r="M226" i="1"/>
  <c r="N226" i="1"/>
  <c r="O226" i="1"/>
  <c r="P226" i="1"/>
  <c r="Q226" i="1"/>
  <c r="R226" i="1"/>
  <c r="S226" i="1"/>
  <c r="T226" i="1"/>
  <c r="L227" i="1"/>
  <c r="M227" i="1"/>
  <c r="N227" i="1"/>
  <c r="O227" i="1"/>
  <c r="P227" i="1"/>
  <c r="Q227" i="1"/>
  <c r="R227" i="1"/>
  <c r="S227" i="1"/>
  <c r="T227" i="1"/>
  <c r="L228" i="1"/>
  <c r="M228" i="1"/>
  <c r="N228" i="1"/>
  <c r="O228" i="1"/>
  <c r="P228" i="1"/>
  <c r="Q228" i="1"/>
  <c r="R228" i="1"/>
  <c r="S228" i="1"/>
  <c r="T228" i="1"/>
  <c r="L229" i="1"/>
  <c r="M229" i="1"/>
  <c r="N229" i="1"/>
  <c r="O229" i="1"/>
  <c r="P229" i="1"/>
  <c r="Q229" i="1"/>
  <c r="R229" i="1"/>
  <c r="S229" i="1"/>
  <c r="T229" i="1"/>
  <c r="L230" i="1"/>
  <c r="M230" i="1"/>
  <c r="N230" i="1"/>
  <c r="O230" i="1"/>
  <c r="P230" i="1"/>
  <c r="Q230" i="1"/>
  <c r="R230" i="1"/>
  <c r="S230" i="1"/>
  <c r="T230" i="1"/>
  <c r="L231" i="1"/>
  <c r="M231" i="1"/>
  <c r="N231" i="1"/>
  <c r="O231" i="1"/>
  <c r="P231" i="1"/>
  <c r="Q231" i="1"/>
  <c r="R231" i="1"/>
  <c r="S231" i="1"/>
  <c r="T231" i="1"/>
  <c r="L232" i="1"/>
  <c r="M232" i="1"/>
  <c r="N232" i="1"/>
  <c r="O232" i="1"/>
  <c r="P232" i="1"/>
  <c r="Q232" i="1"/>
  <c r="R232" i="1"/>
  <c r="S232" i="1"/>
  <c r="T232" i="1"/>
  <c r="L233" i="1"/>
  <c r="M233" i="1"/>
  <c r="N233" i="1"/>
  <c r="O233" i="1"/>
  <c r="P233" i="1"/>
  <c r="Q233" i="1"/>
  <c r="R233" i="1"/>
  <c r="S233" i="1"/>
  <c r="T233" i="1"/>
  <c r="L234" i="1"/>
  <c r="M234" i="1"/>
  <c r="N234" i="1"/>
  <c r="O234" i="1"/>
  <c r="P234" i="1"/>
  <c r="Q234" i="1"/>
  <c r="R234" i="1"/>
  <c r="S234" i="1"/>
  <c r="T234" i="1"/>
  <c r="L170" i="1"/>
  <c r="M170" i="1"/>
  <c r="N170" i="1"/>
  <c r="O170" i="1"/>
  <c r="P170" i="1"/>
  <c r="Q170" i="1"/>
  <c r="R170" i="1"/>
  <c r="S170" i="1"/>
  <c r="T170" i="1"/>
  <c r="L171" i="1"/>
  <c r="M171" i="1"/>
  <c r="N171" i="1"/>
  <c r="O171" i="1"/>
  <c r="P171" i="1"/>
  <c r="Q171" i="1"/>
  <c r="R171" i="1"/>
  <c r="S171" i="1"/>
  <c r="T171" i="1"/>
  <c r="L172" i="1"/>
  <c r="M172" i="1"/>
  <c r="N172" i="1"/>
  <c r="O172" i="1"/>
  <c r="P172" i="1"/>
  <c r="Q172" i="1"/>
  <c r="R172" i="1"/>
  <c r="S172" i="1"/>
  <c r="T172" i="1"/>
  <c r="L173" i="1"/>
  <c r="M173" i="1"/>
  <c r="N173" i="1"/>
  <c r="O173" i="1"/>
  <c r="P173" i="1"/>
  <c r="Q173" i="1"/>
  <c r="R173" i="1"/>
  <c r="S173" i="1"/>
  <c r="T173" i="1"/>
  <c r="L174" i="1"/>
  <c r="M174" i="1"/>
  <c r="N174" i="1"/>
  <c r="O174" i="1"/>
  <c r="P174" i="1"/>
  <c r="Q174" i="1"/>
  <c r="R174" i="1"/>
  <c r="S174" i="1"/>
  <c r="T174" i="1"/>
  <c r="L175" i="1"/>
  <c r="M175" i="1"/>
  <c r="N175" i="1"/>
  <c r="O175" i="1"/>
  <c r="P175" i="1"/>
  <c r="Q175" i="1"/>
  <c r="R175" i="1"/>
  <c r="S175" i="1"/>
  <c r="T175" i="1"/>
  <c r="L176" i="1"/>
  <c r="M176" i="1"/>
  <c r="N176" i="1"/>
  <c r="O176" i="1"/>
  <c r="P176" i="1"/>
  <c r="Q176" i="1"/>
  <c r="R176" i="1"/>
  <c r="S176" i="1"/>
  <c r="T176" i="1"/>
  <c r="L177" i="1"/>
  <c r="M177" i="1"/>
  <c r="N177" i="1"/>
  <c r="O177" i="1"/>
  <c r="P177" i="1"/>
  <c r="Q177" i="1"/>
  <c r="R177" i="1"/>
  <c r="S177" i="1"/>
  <c r="T177" i="1"/>
  <c r="L178" i="1"/>
  <c r="M178" i="1"/>
  <c r="N178" i="1"/>
  <c r="O178" i="1"/>
  <c r="P178" i="1"/>
  <c r="Q178" i="1"/>
  <c r="R178" i="1"/>
  <c r="S178" i="1"/>
  <c r="T178" i="1"/>
  <c r="L179" i="1"/>
  <c r="M179" i="1"/>
  <c r="N179" i="1"/>
  <c r="O179" i="1"/>
  <c r="P179" i="1"/>
  <c r="Q179" i="1"/>
  <c r="R179" i="1"/>
  <c r="S179" i="1"/>
  <c r="T179" i="1"/>
  <c r="L180" i="1"/>
  <c r="M180" i="1"/>
  <c r="N180" i="1"/>
  <c r="O180" i="1"/>
  <c r="P180" i="1"/>
  <c r="Q180" i="1"/>
  <c r="R180" i="1"/>
  <c r="S180" i="1"/>
  <c r="T180" i="1"/>
  <c r="L181" i="1"/>
  <c r="M181" i="1"/>
  <c r="N181" i="1"/>
  <c r="O181" i="1"/>
  <c r="P181" i="1"/>
  <c r="Q181" i="1"/>
  <c r="R181" i="1"/>
  <c r="S181" i="1"/>
  <c r="T181" i="1"/>
  <c r="L182" i="1"/>
  <c r="M182" i="1"/>
  <c r="N182" i="1"/>
  <c r="O182" i="1"/>
  <c r="P182" i="1"/>
  <c r="Q182" i="1"/>
  <c r="R182" i="1"/>
  <c r="S182" i="1"/>
  <c r="T182" i="1"/>
  <c r="L183" i="1"/>
  <c r="M183" i="1"/>
  <c r="N183" i="1"/>
  <c r="O183" i="1"/>
  <c r="P183" i="1"/>
  <c r="Q183" i="1"/>
  <c r="R183" i="1"/>
  <c r="S183" i="1"/>
  <c r="T183" i="1"/>
  <c r="L184" i="1"/>
  <c r="M184" i="1"/>
  <c r="N184" i="1"/>
  <c r="O184" i="1"/>
  <c r="P184" i="1"/>
  <c r="Q184" i="1"/>
  <c r="R184" i="1"/>
  <c r="S184" i="1"/>
  <c r="T184" i="1"/>
  <c r="L185" i="1"/>
  <c r="M185" i="1"/>
  <c r="N185" i="1"/>
  <c r="O185" i="1"/>
  <c r="P185" i="1"/>
  <c r="Q185" i="1"/>
  <c r="R185" i="1"/>
  <c r="S185" i="1"/>
  <c r="T185" i="1"/>
  <c r="L186" i="1"/>
  <c r="M186" i="1"/>
  <c r="N186" i="1"/>
  <c r="O186" i="1"/>
  <c r="P186" i="1"/>
  <c r="Q186" i="1"/>
  <c r="R186" i="1"/>
  <c r="S186" i="1"/>
  <c r="T186" i="1"/>
  <c r="L187" i="1"/>
  <c r="M187" i="1"/>
  <c r="N187" i="1"/>
  <c r="O187" i="1"/>
  <c r="P187" i="1"/>
  <c r="Q187" i="1"/>
  <c r="R187" i="1"/>
  <c r="S187" i="1"/>
  <c r="T187" i="1"/>
  <c r="L188" i="1"/>
  <c r="M188" i="1"/>
  <c r="N188" i="1"/>
  <c r="O188" i="1"/>
  <c r="P188" i="1"/>
  <c r="Q188" i="1"/>
  <c r="R188" i="1"/>
  <c r="S188" i="1"/>
  <c r="T188" i="1"/>
  <c r="L189" i="1"/>
  <c r="M189" i="1"/>
  <c r="N189" i="1"/>
  <c r="O189" i="1"/>
  <c r="P189" i="1"/>
  <c r="Q189" i="1"/>
  <c r="R189" i="1"/>
  <c r="S189" i="1"/>
  <c r="T189" i="1"/>
  <c r="L190" i="1"/>
  <c r="M190" i="1"/>
  <c r="N190" i="1"/>
  <c r="O190" i="1"/>
  <c r="P190" i="1"/>
  <c r="Q190" i="1"/>
  <c r="R190" i="1"/>
  <c r="S190" i="1"/>
  <c r="T190" i="1"/>
  <c r="L191" i="1"/>
  <c r="M191" i="1"/>
  <c r="N191" i="1"/>
  <c r="O191" i="1"/>
  <c r="P191" i="1"/>
  <c r="Q191" i="1"/>
  <c r="R191" i="1"/>
  <c r="S191" i="1"/>
  <c r="T191" i="1"/>
  <c r="L192" i="1"/>
  <c r="M192" i="1"/>
  <c r="N192" i="1"/>
  <c r="O192" i="1"/>
  <c r="P192" i="1"/>
  <c r="Q192" i="1"/>
  <c r="R192" i="1"/>
  <c r="S192" i="1"/>
  <c r="T192" i="1"/>
  <c r="L193" i="1"/>
  <c r="M193" i="1"/>
  <c r="N193" i="1"/>
  <c r="O193" i="1"/>
  <c r="P193" i="1"/>
  <c r="Q193" i="1"/>
  <c r="R193" i="1"/>
  <c r="S193" i="1"/>
  <c r="T193" i="1"/>
  <c r="L152" i="1"/>
  <c r="M152" i="1"/>
  <c r="N152" i="1"/>
  <c r="O152" i="1"/>
  <c r="P152" i="1"/>
  <c r="Q152" i="1"/>
  <c r="R152" i="1"/>
  <c r="S152" i="1"/>
  <c r="T152" i="1"/>
  <c r="L153" i="1"/>
  <c r="M153" i="1"/>
  <c r="N153" i="1"/>
  <c r="O153" i="1"/>
  <c r="P153" i="1"/>
  <c r="Q153" i="1"/>
  <c r="R153" i="1"/>
  <c r="S153" i="1"/>
  <c r="T153" i="1"/>
  <c r="L154" i="1"/>
  <c r="M154" i="1"/>
  <c r="N154" i="1"/>
  <c r="O154" i="1"/>
  <c r="P154" i="1"/>
  <c r="Q154" i="1"/>
  <c r="R154" i="1"/>
  <c r="S154" i="1"/>
  <c r="T154" i="1"/>
  <c r="L155" i="1"/>
  <c r="M155" i="1"/>
  <c r="N155" i="1"/>
  <c r="O155" i="1"/>
  <c r="P155" i="1"/>
  <c r="Q155" i="1"/>
  <c r="R155" i="1"/>
  <c r="S155" i="1"/>
  <c r="T155" i="1"/>
  <c r="L156" i="1"/>
  <c r="M156" i="1"/>
  <c r="N156" i="1"/>
  <c r="O156" i="1"/>
  <c r="P156" i="1"/>
  <c r="Q156" i="1"/>
  <c r="R156" i="1"/>
  <c r="S156" i="1"/>
  <c r="T156" i="1"/>
  <c r="L157" i="1"/>
  <c r="M157" i="1"/>
  <c r="N157" i="1"/>
  <c r="O157" i="1"/>
  <c r="P157" i="1"/>
  <c r="Q157" i="1"/>
  <c r="R157" i="1"/>
  <c r="S157" i="1"/>
  <c r="T157" i="1"/>
  <c r="L158" i="1"/>
  <c r="M158" i="1"/>
  <c r="N158" i="1"/>
  <c r="O158" i="1"/>
  <c r="P158" i="1"/>
  <c r="Q158" i="1"/>
  <c r="R158" i="1"/>
  <c r="S158" i="1"/>
  <c r="T158" i="1"/>
  <c r="L159" i="1"/>
  <c r="M159" i="1"/>
  <c r="N159" i="1"/>
  <c r="O159" i="1"/>
  <c r="P159" i="1"/>
  <c r="Q159" i="1"/>
  <c r="R159" i="1"/>
  <c r="S159" i="1"/>
  <c r="T159" i="1"/>
  <c r="L160" i="1"/>
  <c r="M160" i="1"/>
  <c r="N160" i="1"/>
  <c r="O160" i="1"/>
  <c r="P160" i="1"/>
  <c r="Q160" i="1"/>
  <c r="R160" i="1"/>
  <c r="S160" i="1"/>
  <c r="T160" i="1"/>
  <c r="L161" i="1"/>
  <c r="M161" i="1"/>
  <c r="N161" i="1"/>
  <c r="O161" i="1"/>
  <c r="P161" i="1"/>
  <c r="Q161" i="1"/>
  <c r="R161" i="1"/>
  <c r="S161" i="1"/>
  <c r="T161" i="1"/>
  <c r="L162" i="1"/>
  <c r="M162" i="1"/>
  <c r="N162" i="1"/>
  <c r="O162" i="1"/>
  <c r="P162" i="1"/>
  <c r="Q162" i="1"/>
  <c r="R162" i="1"/>
  <c r="S162" i="1"/>
  <c r="T162" i="1"/>
  <c r="L163" i="1"/>
  <c r="M163" i="1"/>
  <c r="N163" i="1"/>
  <c r="O163" i="1"/>
  <c r="P163" i="1"/>
  <c r="Q163" i="1"/>
  <c r="R163" i="1"/>
  <c r="S163" i="1"/>
  <c r="T163" i="1"/>
  <c r="L164" i="1"/>
  <c r="M164" i="1"/>
  <c r="N164" i="1"/>
  <c r="O164" i="1"/>
  <c r="P164" i="1"/>
  <c r="Q164" i="1"/>
  <c r="R164" i="1"/>
  <c r="S164" i="1"/>
  <c r="T164" i="1"/>
  <c r="L165" i="1"/>
  <c r="M165" i="1"/>
  <c r="N165" i="1"/>
  <c r="O165" i="1"/>
  <c r="P165" i="1"/>
  <c r="Q165" i="1"/>
  <c r="R165" i="1"/>
  <c r="S165" i="1"/>
  <c r="T165" i="1"/>
  <c r="L166" i="1"/>
  <c r="M166" i="1"/>
  <c r="N166" i="1"/>
  <c r="O166" i="1"/>
  <c r="P166" i="1"/>
  <c r="Q166" i="1"/>
  <c r="R166" i="1"/>
  <c r="S166" i="1"/>
  <c r="T166" i="1"/>
  <c r="L167" i="1"/>
  <c r="M167" i="1"/>
  <c r="N167" i="1"/>
  <c r="O167" i="1"/>
  <c r="P167" i="1"/>
  <c r="Q167" i="1"/>
  <c r="R167" i="1"/>
  <c r="S167" i="1"/>
  <c r="T167" i="1"/>
  <c r="L168" i="1"/>
  <c r="M168" i="1"/>
  <c r="N168" i="1"/>
  <c r="O168" i="1"/>
  <c r="P168" i="1"/>
  <c r="Q168" i="1"/>
  <c r="R168" i="1"/>
  <c r="S168" i="1"/>
  <c r="T168" i="1"/>
  <c r="L169" i="1"/>
  <c r="M169" i="1"/>
  <c r="N169" i="1"/>
  <c r="O169" i="1"/>
  <c r="P169" i="1"/>
  <c r="Q169" i="1"/>
  <c r="R169" i="1"/>
  <c r="S169" i="1"/>
  <c r="T169" i="1"/>
  <c r="L130" i="1"/>
  <c r="M130" i="1"/>
  <c r="N130" i="1"/>
  <c r="O130" i="1"/>
  <c r="P130" i="1"/>
  <c r="Q130" i="1"/>
  <c r="R130" i="1"/>
  <c r="S130" i="1"/>
  <c r="T130" i="1"/>
  <c r="L131" i="1"/>
  <c r="M131" i="1"/>
  <c r="N131" i="1"/>
  <c r="O131" i="1"/>
  <c r="P131" i="1"/>
  <c r="Q131" i="1"/>
  <c r="R131" i="1"/>
  <c r="S131" i="1"/>
  <c r="T131" i="1"/>
  <c r="L132" i="1"/>
  <c r="M132" i="1"/>
  <c r="N132" i="1"/>
  <c r="O132" i="1"/>
  <c r="P132" i="1"/>
  <c r="Q132" i="1"/>
  <c r="R132" i="1"/>
  <c r="S132" i="1"/>
  <c r="T132" i="1"/>
  <c r="L133" i="1"/>
  <c r="M133" i="1"/>
  <c r="N133" i="1"/>
  <c r="O133" i="1"/>
  <c r="P133" i="1"/>
  <c r="Q133" i="1"/>
  <c r="R133" i="1"/>
  <c r="S133" i="1"/>
  <c r="T133" i="1"/>
  <c r="L134" i="1"/>
  <c r="M134" i="1"/>
  <c r="N134" i="1"/>
  <c r="O134" i="1"/>
  <c r="P134" i="1"/>
  <c r="Q134" i="1"/>
  <c r="R134" i="1"/>
  <c r="S134" i="1"/>
  <c r="T134" i="1"/>
  <c r="L135" i="1"/>
  <c r="M135" i="1"/>
  <c r="N135" i="1"/>
  <c r="O135" i="1"/>
  <c r="P135" i="1"/>
  <c r="Q135" i="1"/>
  <c r="R135" i="1"/>
  <c r="S135" i="1"/>
  <c r="T135" i="1"/>
  <c r="L136" i="1"/>
  <c r="M136" i="1"/>
  <c r="N136" i="1"/>
  <c r="O136" i="1"/>
  <c r="P136" i="1"/>
  <c r="Q136" i="1"/>
  <c r="R136" i="1"/>
  <c r="S136" i="1"/>
  <c r="T136" i="1"/>
  <c r="L137" i="1"/>
  <c r="M137" i="1"/>
  <c r="N137" i="1"/>
  <c r="O137" i="1"/>
  <c r="P137" i="1"/>
  <c r="Q137" i="1"/>
  <c r="R137" i="1"/>
  <c r="S137" i="1"/>
  <c r="T137" i="1"/>
  <c r="L138" i="1"/>
  <c r="M138" i="1"/>
  <c r="N138" i="1"/>
  <c r="O138" i="1"/>
  <c r="P138" i="1"/>
  <c r="Q138" i="1"/>
  <c r="R138" i="1"/>
  <c r="S138" i="1"/>
  <c r="T138" i="1"/>
  <c r="L139" i="1"/>
  <c r="M139" i="1"/>
  <c r="N139" i="1"/>
  <c r="O139" i="1"/>
  <c r="P139" i="1"/>
  <c r="Q139" i="1"/>
  <c r="R139" i="1"/>
  <c r="S139" i="1"/>
  <c r="T139" i="1"/>
  <c r="L140" i="1"/>
  <c r="M140" i="1"/>
  <c r="N140" i="1"/>
  <c r="O140" i="1"/>
  <c r="P140" i="1"/>
  <c r="Q140" i="1"/>
  <c r="R140" i="1"/>
  <c r="S140" i="1"/>
  <c r="T140" i="1"/>
  <c r="L141" i="1"/>
  <c r="M141" i="1"/>
  <c r="N141" i="1"/>
  <c r="O141" i="1"/>
  <c r="P141" i="1"/>
  <c r="Q141" i="1"/>
  <c r="R141" i="1"/>
  <c r="S141" i="1"/>
  <c r="T141" i="1"/>
  <c r="L142" i="1"/>
  <c r="M142" i="1"/>
  <c r="N142" i="1"/>
  <c r="O142" i="1"/>
  <c r="P142" i="1"/>
  <c r="Q142" i="1"/>
  <c r="R142" i="1"/>
  <c r="S142" i="1"/>
  <c r="T142" i="1"/>
  <c r="L143" i="1"/>
  <c r="M143" i="1"/>
  <c r="N143" i="1"/>
  <c r="O143" i="1"/>
  <c r="P143" i="1"/>
  <c r="Q143" i="1"/>
  <c r="R143" i="1"/>
  <c r="S143" i="1"/>
  <c r="T143" i="1"/>
  <c r="L144" i="1"/>
  <c r="M144" i="1"/>
  <c r="N144" i="1"/>
  <c r="O144" i="1"/>
  <c r="P144" i="1"/>
  <c r="Q144" i="1"/>
  <c r="R144" i="1"/>
  <c r="S144" i="1"/>
  <c r="T144" i="1"/>
  <c r="L145" i="1"/>
  <c r="M145" i="1"/>
  <c r="N145" i="1"/>
  <c r="O145" i="1"/>
  <c r="P145" i="1"/>
  <c r="Q145" i="1"/>
  <c r="R145" i="1"/>
  <c r="S145" i="1"/>
  <c r="T145" i="1"/>
  <c r="L146" i="1"/>
  <c r="M146" i="1"/>
  <c r="N146" i="1"/>
  <c r="O146" i="1"/>
  <c r="P146" i="1"/>
  <c r="Q146" i="1"/>
  <c r="R146" i="1"/>
  <c r="S146" i="1"/>
  <c r="T146" i="1"/>
  <c r="L147" i="1"/>
  <c r="M147" i="1"/>
  <c r="N147" i="1"/>
  <c r="O147" i="1"/>
  <c r="P147" i="1"/>
  <c r="Q147" i="1"/>
  <c r="R147" i="1"/>
  <c r="S147" i="1"/>
  <c r="T147" i="1"/>
  <c r="L148" i="1"/>
  <c r="M148" i="1"/>
  <c r="N148" i="1"/>
  <c r="O148" i="1"/>
  <c r="P148" i="1"/>
  <c r="Q148" i="1"/>
  <c r="R148" i="1"/>
  <c r="S148" i="1"/>
  <c r="T148" i="1"/>
  <c r="L149" i="1"/>
  <c r="M149" i="1"/>
  <c r="N149" i="1"/>
  <c r="O149" i="1"/>
  <c r="P149" i="1"/>
  <c r="Q149" i="1"/>
  <c r="R149" i="1"/>
  <c r="S149" i="1"/>
  <c r="T149" i="1"/>
  <c r="L150" i="1"/>
  <c r="M150" i="1"/>
  <c r="N150" i="1"/>
  <c r="O150" i="1"/>
  <c r="P150" i="1"/>
  <c r="Q150" i="1"/>
  <c r="R150" i="1"/>
  <c r="S150" i="1"/>
  <c r="T150" i="1"/>
  <c r="L151" i="1"/>
  <c r="M151" i="1"/>
  <c r="N151" i="1"/>
  <c r="O151" i="1"/>
  <c r="P151" i="1"/>
  <c r="Q151" i="1"/>
  <c r="R151" i="1"/>
  <c r="S151" i="1"/>
  <c r="T151" i="1"/>
  <c r="L97" i="1"/>
  <c r="M97" i="1"/>
  <c r="N97" i="1"/>
  <c r="O97" i="1"/>
  <c r="P97" i="1"/>
  <c r="Q97" i="1"/>
  <c r="R97" i="1"/>
  <c r="S97" i="1"/>
  <c r="T97" i="1"/>
  <c r="L98" i="1"/>
  <c r="M98" i="1"/>
  <c r="N98" i="1"/>
  <c r="O98" i="1"/>
  <c r="P98" i="1"/>
  <c r="Q98" i="1"/>
  <c r="R98" i="1"/>
  <c r="S98" i="1"/>
  <c r="T98" i="1"/>
  <c r="L99" i="1"/>
  <c r="M99" i="1"/>
  <c r="N99" i="1"/>
  <c r="O99" i="1"/>
  <c r="P99" i="1"/>
  <c r="Q99" i="1"/>
  <c r="R99" i="1"/>
  <c r="S99" i="1"/>
  <c r="T99" i="1"/>
  <c r="L100" i="1"/>
  <c r="M100" i="1"/>
  <c r="N100" i="1"/>
  <c r="O100" i="1"/>
  <c r="P100" i="1"/>
  <c r="Q100" i="1"/>
  <c r="R100" i="1"/>
  <c r="S100" i="1"/>
  <c r="T100" i="1"/>
  <c r="L101" i="1"/>
  <c r="M101" i="1"/>
  <c r="N101" i="1"/>
  <c r="O101" i="1"/>
  <c r="P101" i="1"/>
  <c r="Q101" i="1"/>
  <c r="R101" i="1"/>
  <c r="S101" i="1"/>
  <c r="T101" i="1"/>
  <c r="L102" i="1"/>
  <c r="M102" i="1"/>
  <c r="N102" i="1"/>
  <c r="O102" i="1"/>
  <c r="P102" i="1"/>
  <c r="Q102" i="1"/>
  <c r="R102" i="1"/>
  <c r="S102" i="1"/>
  <c r="T102" i="1"/>
  <c r="L103" i="1"/>
  <c r="M103" i="1"/>
  <c r="N103" i="1"/>
  <c r="O103" i="1"/>
  <c r="P103" i="1"/>
  <c r="Q103" i="1"/>
  <c r="R103" i="1"/>
  <c r="S103" i="1"/>
  <c r="T103" i="1"/>
  <c r="L104" i="1"/>
  <c r="M104" i="1"/>
  <c r="N104" i="1"/>
  <c r="O104" i="1"/>
  <c r="P104" i="1"/>
  <c r="Q104" i="1"/>
  <c r="R104" i="1"/>
  <c r="S104" i="1"/>
  <c r="T104" i="1"/>
  <c r="L105" i="1"/>
  <c r="M105" i="1"/>
  <c r="N105" i="1"/>
  <c r="O105" i="1"/>
  <c r="P105" i="1"/>
  <c r="Q105" i="1"/>
  <c r="R105" i="1"/>
  <c r="S105" i="1"/>
  <c r="T105" i="1"/>
  <c r="L106" i="1"/>
  <c r="M106" i="1"/>
  <c r="N106" i="1"/>
  <c r="O106" i="1"/>
  <c r="P106" i="1"/>
  <c r="Q106" i="1"/>
  <c r="R106" i="1"/>
  <c r="S106" i="1"/>
  <c r="T106" i="1"/>
  <c r="L107" i="1"/>
  <c r="M107" i="1"/>
  <c r="N107" i="1"/>
  <c r="O107" i="1"/>
  <c r="P107" i="1"/>
  <c r="Q107" i="1"/>
  <c r="R107" i="1"/>
  <c r="S107" i="1"/>
  <c r="T107" i="1"/>
  <c r="L108" i="1"/>
  <c r="M108" i="1"/>
  <c r="N108" i="1"/>
  <c r="O108" i="1"/>
  <c r="P108" i="1"/>
  <c r="Q108" i="1"/>
  <c r="R108" i="1"/>
  <c r="S108" i="1"/>
  <c r="T108" i="1"/>
  <c r="L109" i="1"/>
  <c r="M109" i="1"/>
  <c r="N109" i="1"/>
  <c r="O109" i="1"/>
  <c r="P109" i="1"/>
  <c r="Q109" i="1"/>
  <c r="R109" i="1"/>
  <c r="S109" i="1"/>
  <c r="T109" i="1"/>
  <c r="L110" i="1"/>
  <c r="M110" i="1"/>
  <c r="N110" i="1"/>
  <c r="O110" i="1"/>
  <c r="P110" i="1"/>
  <c r="Q110" i="1"/>
  <c r="R110" i="1"/>
  <c r="S110" i="1"/>
  <c r="T110" i="1"/>
  <c r="L111" i="1"/>
  <c r="M111" i="1"/>
  <c r="N111" i="1"/>
  <c r="O111" i="1"/>
  <c r="P111" i="1"/>
  <c r="Q111" i="1"/>
  <c r="R111" i="1"/>
  <c r="S111" i="1"/>
  <c r="T111" i="1"/>
  <c r="L112" i="1"/>
  <c r="M112" i="1"/>
  <c r="N112" i="1"/>
  <c r="O112" i="1"/>
  <c r="P112" i="1"/>
  <c r="Q112" i="1"/>
  <c r="R112" i="1"/>
  <c r="S112" i="1"/>
  <c r="T112" i="1"/>
  <c r="L113" i="1"/>
  <c r="M113" i="1"/>
  <c r="N113" i="1"/>
  <c r="O113" i="1"/>
  <c r="P113" i="1"/>
  <c r="Q113" i="1"/>
  <c r="R113" i="1"/>
  <c r="S113" i="1"/>
  <c r="T113" i="1"/>
  <c r="L114" i="1"/>
  <c r="M114" i="1"/>
  <c r="N114" i="1"/>
  <c r="O114" i="1"/>
  <c r="P114" i="1"/>
  <c r="Q114" i="1"/>
  <c r="R114" i="1"/>
  <c r="S114" i="1"/>
  <c r="T114" i="1"/>
  <c r="L115" i="1"/>
  <c r="M115" i="1"/>
  <c r="N115" i="1"/>
  <c r="O115" i="1"/>
  <c r="P115" i="1"/>
  <c r="Q115" i="1"/>
  <c r="R115" i="1"/>
  <c r="S115" i="1"/>
  <c r="T115" i="1"/>
  <c r="L116" i="1"/>
  <c r="M116" i="1"/>
  <c r="N116" i="1"/>
  <c r="O116" i="1"/>
  <c r="P116" i="1"/>
  <c r="Q116" i="1"/>
  <c r="R116" i="1"/>
  <c r="S116" i="1"/>
  <c r="T116" i="1"/>
  <c r="L117" i="1"/>
  <c r="M117" i="1"/>
  <c r="N117" i="1"/>
  <c r="O117" i="1"/>
  <c r="P117" i="1"/>
  <c r="Q117" i="1"/>
  <c r="R117" i="1"/>
  <c r="S117" i="1"/>
  <c r="T117" i="1"/>
  <c r="L118" i="1"/>
  <c r="M118" i="1"/>
  <c r="N118" i="1"/>
  <c r="O118" i="1"/>
  <c r="P118" i="1"/>
  <c r="Q118" i="1"/>
  <c r="R118" i="1"/>
  <c r="S118" i="1"/>
  <c r="T118" i="1"/>
  <c r="L119" i="1"/>
  <c r="M119" i="1"/>
  <c r="N119" i="1"/>
  <c r="O119" i="1"/>
  <c r="P119" i="1"/>
  <c r="Q119" i="1"/>
  <c r="R119" i="1"/>
  <c r="S119" i="1"/>
  <c r="T119" i="1"/>
  <c r="L120" i="1"/>
  <c r="M120" i="1"/>
  <c r="N120" i="1"/>
  <c r="O120" i="1"/>
  <c r="P120" i="1"/>
  <c r="Q120" i="1"/>
  <c r="R120" i="1"/>
  <c r="S120" i="1"/>
  <c r="T120" i="1"/>
  <c r="L121" i="1"/>
  <c r="M121" i="1"/>
  <c r="N121" i="1"/>
  <c r="O121" i="1"/>
  <c r="P121" i="1"/>
  <c r="Q121" i="1"/>
  <c r="R121" i="1"/>
  <c r="S121" i="1"/>
  <c r="T121" i="1"/>
  <c r="L122" i="1"/>
  <c r="M122" i="1"/>
  <c r="N122" i="1"/>
  <c r="O122" i="1"/>
  <c r="P122" i="1"/>
  <c r="Q122" i="1"/>
  <c r="R122" i="1"/>
  <c r="S122" i="1"/>
  <c r="T122" i="1"/>
  <c r="L123" i="1"/>
  <c r="M123" i="1"/>
  <c r="N123" i="1"/>
  <c r="O123" i="1"/>
  <c r="P123" i="1"/>
  <c r="Q123" i="1"/>
  <c r="R123" i="1"/>
  <c r="S123" i="1"/>
  <c r="T123" i="1"/>
  <c r="L124" i="1"/>
  <c r="M124" i="1"/>
  <c r="N124" i="1"/>
  <c r="O124" i="1"/>
  <c r="P124" i="1"/>
  <c r="Q124" i="1"/>
  <c r="R124" i="1"/>
  <c r="S124" i="1"/>
  <c r="T124" i="1"/>
  <c r="L125" i="1"/>
  <c r="M125" i="1"/>
  <c r="N125" i="1"/>
  <c r="O125" i="1"/>
  <c r="P125" i="1"/>
  <c r="Q125" i="1"/>
  <c r="R125" i="1"/>
  <c r="S125" i="1"/>
  <c r="T125" i="1"/>
  <c r="L126" i="1"/>
  <c r="M126" i="1"/>
  <c r="N126" i="1"/>
  <c r="O126" i="1"/>
  <c r="P126" i="1"/>
  <c r="Q126" i="1"/>
  <c r="R126" i="1"/>
  <c r="S126" i="1"/>
  <c r="T126" i="1"/>
  <c r="L127" i="1"/>
  <c r="M127" i="1"/>
  <c r="N127" i="1"/>
  <c r="O127" i="1"/>
  <c r="P127" i="1"/>
  <c r="Q127" i="1"/>
  <c r="R127" i="1"/>
  <c r="S127" i="1"/>
  <c r="T127" i="1"/>
  <c r="L128" i="1"/>
  <c r="M128" i="1"/>
  <c r="N128" i="1"/>
  <c r="O128" i="1"/>
  <c r="P128" i="1"/>
  <c r="Q128" i="1"/>
  <c r="R128" i="1"/>
  <c r="S128" i="1"/>
  <c r="T128" i="1"/>
  <c r="L129" i="1"/>
  <c r="M129" i="1"/>
  <c r="N129" i="1"/>
  <c r="O129" i="1"/>
  <c r="P129" i="1"/>
  <c r="Q129" i="1"/>
  <c r="R129" i="1"/>
  <c r="S129" i="1"/>
  <c r="T129" i="1"/>
  <c r="L75" i="1"/>
  <c r="M75" i="1"/>
  <c r="N75" i="1"/>
  <c r="O75" i="1"/>
  <c r="P75" i="1"/>
  <c r="Q75" i="1"/>
  <c r="R75" i="1"/>
  <c r="S75" i="1"/>
  <c r="T75" i="1"/>
  <c r="L76" i="1"/>
  <c r="M76" i="1"/>
  <c r="N76" i="1"/>
  <c r="O76" i="1"/>
  <c r="P76" i="1"/>
  <c r="Q76" i="1"/>
  <c r="R76" i="1"/>
  <c r="S76" i="1"/>
  <c r="T76" i="1"/>
  <c r="L77" i="1"/>
  <c r="M77" i="1"/>
  <c r="N77" i="1"/>
  <c r="O77" i="1"/>
  <c r="P77" i="1"/>
  <c r="Q77" i="1"/>
  <c r="R77" i="1"/>
  <c r="S77" i="1"/>
  <c r="T77" i="1"/>
  <c r="L78" i="1"/>
  <c r="M78" i="1"/>
  <c r="N78" i="1"/>
  <c r="O78" i="1"/>
  <c r="P78" i="1"/>
  <c r="Q78" i="1"/>
  <c r="R78" i="1"/>
  <c r="S78" i="1"/>
  <c r="T78" i="1"/>
  <c r="L79" i="1"/>
  <c r="M79" i="1"/>
  <c r="N79" i="1"/>
  <c r="O79" i="1"/>
  <c r="P79" i="1"/>
  <c r="Q79" i="1"/>
  <c r="R79" i="1"/>
  <c r="S79" i="1"/>
  <c r="T79" i="1"/>
  <c r="L80" i="1"/>
  <c r="M80" i="1"/>
  <c r="N80" i="1"/>
  <c r="O80" i="1"/>
  <c r="P80" i="1"/>
  <c r="Q80" i="1"/>
  <c r="R80" i="1"/>
  <c r="S80" i="1"/>
  <c r="T80" i="1"/>
  <c r="L81" i="1"/>
  <c r="M81" i="1"/>
  <c r="N81" i="1"/>
  <c r="O81" i="1"/>
  <c r="P81" i="1"/>
  <c r="Q81" i="1"/>
  <c r="R81" i="1"/>
  <c r="S81" i="1"/>
  <c r="T81" i="1"/>
  <c r="L82" i="1"/>
  <c r="M82" i="1"/>
  <c r="N82" i="1"/>
  <c r="O82" i="1"/>
  <c r="P82" i="1"/>
  <c r="Q82" i="1"/>
  <c r="R82" i="1"/>
  <c r="S82" i="1"/>
  <c r="T82" i="1"/>
  <c r="L83" i="1"/>
  <c r="M83" i="1"/>
  <c r="N83" i="1"/>
  <c r="O83" i="1"/>
  <c r="P83" i="1"/>
  <c r="Q83" i="1"/>
  <c r="R83" i="1"/>
  <c r="S83" i="1"/>
  <c r="T83" i="1"/>
  <c r="L84" i="1"/>
  <c r="M84" i="1"/>
  <c r="N84" i="1"/>
  <c r="O84" i="1"/>
  <c r="P84" i="1"/>
  <c r="Q84" i="1"/>
  <c r="R84" i="1"/>
  <c r="S84" i="1"/>
  <c r="T84" i="1"/>
  <c r="L85" i="1"/>
  <c r="M85" i="1"/>
  <c r="N85" i="1"/>
  <c r="O85" i="1"/>
  <c r="P85" i="1"/>
  <c r="Q85" i="1"/>
  <c r="R85" i="1"/>
  <c r="S85" i="1"/>
  <c r="T85" i="1"/>
  <c r="L86" i="1"/>
  <c r="M86" i="1"/>
  <c r="N86" i="1"/>
  <c r="O86" i="1"/>
  <c r="P86" i="1"/>
  <c r="Q86" i="1"/>
  <c r="R86" i="1"/>
  <c r="S86" i="1"/>
  <c r="T86" i="1"/>
  <c r="L87" i="1"/>
  <c r="M87" i="1"/>
  <c r="N87" i="1"/>
  <c r="O87" i="1"/>
  <c r="P87" i="1"/>
  <c r="Q87" i="1"/>
  <c r="R87" i="1"/>
  <c r="S87" i="1"/>
  <c r="T87" i="1"/>
  <c r="L88" i="1"/>
  <c r="M88" i="1"/>
  <c r="N88" i="1"/>
  <c r="O88" i="1"/>
  <c r="P88" i="1"/>
  <c r="Q88" i="1"/>
  <c r="R88" i="1"/>
  <c r="S88" i="1"/>
  <c r="T88" i="1"/>
  <c r="L89" i="1"/>
  <c r="M89" i="1"/>
  <c r="N89" i="1"/>
  <c r="O89" i="1"/>
  <c r="P89" i="1"/>
  <c r="Q89" i="1"/>
  <c r="R89" i="1"/>
  <c r="S89" i="1"/>
  <c r="T89" i="1"/>
  <c r="L90" i="1"/>
  <c r="M90" i="1"/>
  <c r="N90" i="1"/>
  <c r="O90" i="1"/>
  <c r="P90" i="1"/>
  <c r="Q90" i="1"/>
  <c r="R90" i="1"/>
  <c r="S90" i="1"/>
  <c r="T90" i="1"/>
  <c r="L91" i="1"/>
  <c r="M91" i="1"/>
  <c r="N91" i="1"/>
  <c r="O91" i="1"/>
  <c r="P91" i="1"/>
  <c r="Q91" i="1"/>
  <c r="R91" i="1"/>
  <c r="S91" i="1"/>
  <c r="T91" i="1"/>
  <c r="L92" i="1"/>
  <c r="M92" i="1"/>
  <c r="N92" i="1"/>
  <c r="O92" i="1"/>
  <c r="P92" i="1"/>
  <c r="Q92" i="1"/>
  <c r="R92" i="1"/>
  <c r="S92" i="1"/>
  <c r="T92" i="1"/>
  <c r="L93" i="1"/>
  <c r="M93" i="1"/>
  <c r="N93" i="1"/>
  <c r="O93" i="1"/>
  <c r="P93" i="1"/>
  <c r="Q93" i="1"/>
  <c r="R93" i="1"/>
  <c r="S93" i="1"/>
  <c r="T93" i="1"/>
  <c r="L94" i="1"/>
  <c r="M94" i="1"/>
  <c r="N94" i="1"/>
  <c r="O94" i="1"/>
  <c r="P94" i="1"/>
  <c r="Q94" i="1"/>
  <c r="R94" i="1"/>
  <c r="S94" i="1"/>
  <c r="T94" i="1"/>
  <c r="L95" i="1"/>
  <c r="M95" i="1"/>
  <c r="N95" i="1"/>
  <c r="O95" i="1"/>
  <c r="P95" i="1"/>
  <c r="Q95" i="1"/>
  <c r="R95" i="1"/>
  <c r="S95" i="1"/>
  <c r="T95" i="1"/>
  <c r="L96" i="1"/>
  <c r="M96" i="1"/>
  <c r="N96" i="1"/>
  <c r="O96" i="1"/>
  <c r="P96" i="1"/>
  <c r="Q96" i="1"/>
  <c r="R96" i="1"/>
  <c r="S96" i="1"/>
  <c r="T96" i="1"/>
  <c r="L56" i="1"/>
  <c r="M56" i="1"/>
  <c r="N56" i="1"/>
  <c r="O56" i="1"/>
  <c r="P56" i="1"/>
  <c r="Q56" i="1"/>
  <c r="R56" i="1"/>
  <c r="S56" i="1"/>
  <c r="T56" i="1"/>
  <c r="L57" i="1"/>
  <c r="M57" i="1"/>
  <c r="N57" i="1"/>
  <c r="O57" i="1"/>
  <c r="P57" i="1"/>
  <c r="Q57" i="1"/>
  <c r="R57" i="1"/>
  <c r="S57" i="1"/>
  <c r="T57" i="1"/>
  <c r="L58" i="1"/>
  <c r="M58" i="1"/>
  <c r="N58" i="1"/>
  <c r="O58" i="1"/>
  <c r="P58" i="1"/>
  <c r="Q58" i="1"/>
  <c r="R58" i="1"/>
  <c r="S58" i="1"/>
  <c r="T58" i="1"/>
  <c r="L59" i="1"/>
  <c r="M59" i="1"/>
  <c r="N59" i="1"/>
  <c r="O59" i="1"/>
  <c r="P59" i="1"/>
  <c r="Q59" i="1"/>
  <c r="R59" i="1"/>
  <c r="S59" i="1"/>
  <c r="T59" i="1"/>
  <c r="L60" i="1"/>
  <c r="M60" i="1"/>
  <c r="N60" i="1"/>
  <c r="O60" i="1"/>
  <c r="P60" i="1"/>
  <c r="Q60" i="1"/>
  <c r="R60" i="1"/>
  <c r="S60" i="1"/>
  <c r="T60" i="1"/>
  <c r="L61" i="1"/>
  <c r="M61" i="1"/>
  <c r="N61" i="1"/>
  <c r="O61" i="1"/>
  <c r="P61" i="1"/>
  <c r="Q61" i="1"/>
  <c r="R61" i="1"/>
  <c r="S61" i="1"/>
  <c r="T61" i="1"/>
  <c r="L62" i="1"/>
  <c r="M62" i="1"/>
  <c r="N62" i="1"/>
  <c r="O62" i="1"/>
  <c r="P62" i="1"/>
  <c r="Q62" i="1"/>
  <c r="R62" i="1"/>
  <c r="S62" i="1"/>
  <c r="T62" i="1"/>
  <c r="L63" i="1"/>
  <c r="M63" i="1"/>
  <c r="N63" i="1"/>
  <c r="O63" i="1"/>
  <c r="P63" i="1"/>
  <c r="Q63" i="1"/>
  <c r="R63" i="1"/>
  <c r="S63" i="1"/>
  <c r="T63" i="1"/>
  <c r="L64" i="1"/>
  <c r="M64" i="1"/>
  <c r="N64" i="1"/>
  <c r="O64" i="1"/>
  <c r="P64" i="1"/>
  <c r="Q64" i="1"/>
  <c r="R64" i="1"/>
  <c r="S64" i="1"/>
  <c r="T64" i="1"/>
  <c r="L65" i="1"/>
  <c r="M65" i="1"/>
  <c r="N65" i="1"/>
  <c r="O65" i="1"/>
  <c r="P65" i="1"/>
  <c r="Q65" i="1"/>
  <c r="R65" i="1"/>
  <c r="S65" i="1"/>
  <c r="T65" i="1"/>
  <c r="L66" i="1"/>
  <c r="M66" i="1"/>
  <c r="N66" i="1"/>
  <c r="O66" i="1"/>
  <c r="P66" i="1"/>
  <c r="Q66" i="1"/>
  <c r="R66" i="1"/>
  <c r="S66" i="1"/>
  <c r="T66" i="1"/>
  <c r="L67" i="1"/>
  <c r="M67" i="1"/>
  <c r="N67" i="1"/>
  <c r="O67" i="1"/>
  <c r="P67" i="1"/>
  <c r="Q67" i="1"/>
  <c r="R67" i="1"/>
  <c r="S67" i="1"/>
  <c r="T67" i="1"/>
  <c r="L68" i="1"/>
  <c r="M68" i="1"/>
  <c r="N68" i="1"/>
  <c r="O68" i="1"/>
  <c r="P68" i="1"/>
  <c r="Q68" i="1"/>
  <c r="R68" i="1"/>
  <c r="S68" i="1"/>
  <c r="T68" i="1"/>
  <c r="L69" i="1"/>
  <c r="M69" i="1"/>
  <c r="N69" i="1"/>
  <c r="O69" i="1"/>
  <c r="P69" i="1"/>
  <c r="Q69" i="1"/>
  <c r="R69" i="1"/>
  <c r="S69" i="1"/>
  <c r="T69" i="1"/>
  <c r="L70" i="1"/>
  <c r="M70" i="1"/>
  <c r="N70" i="1"/>
  <c r="O70" i="1"/>
  <c r="P70" i="1"/>
  <c r="Q70" i="1"/>
  <c r="R70" i="1"/>
  <c r="S70" i="1"/>
  <c r="T70" i="1"/>
  <c r="L71" i="1"/>
  <c r="M71" i="1"/>
  <c r="N71" i="1"/>
  <c r="O71" i="1"/>
  <c r="P71" i="1"/>
  <c r="Q71" i="1"/>
  <c r="R71" i="1"/>
  <c r="S71" i="1"/>
  <c r="T71" i="1"/>
  <c r="L72" i="1"/>
  <c r="M72" i="1"/>
  <c r="N72" i="1"/>
  <c r="O72" i="1"/>
  <c r="P72" i="1"/>
  <c r="Q72" i="1"/>
  <c r="R72" i="1"/>
  <c r="S72" i="1"/>
  <c r="T72" i="1"/>
  <c r="L73" i="1"/>
  <c r="M73" i="1"/>
  <c r="N73" i="1"/>
  <c r="O73" i="1"/>
  <c r="P73" i="1"/>
  <c r="Q73" i="1"/>
  <c r="R73" i="1"/>
  <c r="S73" i="1"/>
  <c r="T73" i="1"/>
  <c r="L74" i="1"/>
  <c r="M74" i="1"/>
  <c r="N74" i="1"/>
  <c r="O74" i="1"/>
  <c r="P74" i="1"/>
  <c r="Q74" i="1"/>
  <c r="R74" i="1"/>
  <c r="S74" i="1"/>
  <c r="T74" i="1"/>
  <c r="L13" i="1"/>
  <c r="M13" i="1"/>
  <c r="N13" i="1"/>
  <c r="O13" i="1"/>
  <c r="P13" i="1"/>
  <c r="Q13" i="1"/>
  <c r="R13" i="1"/>
  <c r="S13" i="1"/>
  <c r="T13" i="1"/>
  <c r="L14" i="1"/>
  <c r="M14" i="1"/>
  <c r="N14" i="1"/>
  <c r="O14" i="1"/>
  <c r="P14" i="1"/>
  <c r="Q14" i="1"/>
  <c r="R14" i="1"/>
  <c r="S14" i="1"/>
  <c r="T14" i="1"/>
  <c r="L15" i="1"/>
  <c r="M15" i="1"/>
  <c r="N15" i="1"/>
  <c r="O15" i="1"/>
  <c r="P15" i="1"/>
  <c r="Q15" i="1"/>
  <c r="R15" i="1"/>
  <c r="S15" i="1"/>
  <c r="T15" i="1"/>
  <c r="L16" i="1"/>
  <c r="M16" i="1"/>
  <c r="N16" i="1"/>
  <c r="O16" i="1"/>
  <c r="P16" i="1"/>
  <c r="Q16" i="1"/>
  <c r="R16" i="1"/>
  <c r="S16" i="1"/>
  <c r="T16" i="1"/>
  <c r="L17" i="1"/>
  <c r="M17" i="1"/>
  <c r="N17" i="1"/>
  <c r="O17" i="1"/>
  <c r="P17" i="1"/>
  <c r="Q17" i="1"/>
  <c r="R17" i="1"/>
  <c r="S17" i="1"/>
  <c r="T17" i="1"/>
  <c r="L18" i="1"/>
  <c r="M18" i="1"/>
  <c r="N18" i="1"/>
  <c r="O18" i="1"/>
  <c r="P18" i="1"/>
  <c r="Q18" i="1"/>
  <c r="R18" i="1"/>
  <c r="S18" i="1"/>
  <c r="T18" i="1"/>
  <c r="L19" i="1"/>
  <c r="M19" i="1"/>
  <c r="N19" i="1"/>
  <c r="O19" i="1"/>
  <c r="P19" i="1"/>
  <c r="Q19" i="1"/>
  <c r="R19" i="1"/>
  <c r="S19" i="1"/>
  <c r="T19" i="1"/>
  <c r="L20" i="1"/>
  <c r="M20" i="1"/>
  <c r="N20" i="1"/>
  <c r="O20" i="1"/>
  <c r="P20" i="1"/>
  <c r="Q20" i="1"/>
  <c r="R20" i="1"/>
  <c r="S20" i="1"/>
  <c r="T20" i="1"/>
  <c r="L21" i="1"/>
  <c r="M21" i="1"/>
  <c r="N21" i="1"/>
  <c r="O21" i="1"/>
  <c r="P21" i="1"/>
  <c r="Q21" i="1"/>
  <c r="R21" i="1"/>
  <c r="S21" i="1"/>
  <c r="T21" i="1"/>
  <c r="L22" i="1"/>
  <c r="M22" i="1"/>
  <c r="N22" i="1"/>
  <c r="O22" i="1"/>
  <c r="P22" i="1"/>
  <c r="Q22" i="1"/>
  <c r="R22" i="1"/>
  <c r="S22" i="1"/>
  <c r="T22" i="1"/>
  <c r="L23" i="1"/>
  <c r="M23" i="1"/>
  <c r="N23" i="1"/>
  <c r="O23" i="1"/>
  <c r="P23" i="1"/>
  <c r="Q23" i="1"/>
  <c r="R23" i="1"/>
  <c r="S23" i="1"/>
  <c r="T23" i="1"/>
  <c r="L24" i="1"/>
  <c r="M24" i="1"/>
  <c r="N24" i="1"/>
  <c r="O24" i="1"/>
  <c r="P24" i="1"/>
  <c r="Q24" i="1"/>
  <c r="R24" i="1"/>
  <c r="S24" i="1"/>
  <c r="T24" i="1"/>
  <c r="L25" i="1"/>
  <c r="M25" i="1"/>
  <c r="N25" i="1"/>
  <c r="O25" i="1"/>
  <c r="P25" i="1"/>
  <c r="Q25" i="1"/>
  <c r="R25" i="1"/>
  <c r="S25" i="1"/>
  <c r="T25" i="1"/>
  <c r="L26" i="1"/>
  <c r="M26" i="1"/>
  <c r="N26" i="1"/>
  <c r="O26" i="1"/>
  <c r="P26" i="1"/>
  <c r="Q26" i="1"/>
  <c r="R26" i="1"/>
  <c r="S26" i="1"/>
  <c r="T26" i="1"/>
  <c r="L27" i="1"/>
  <c r="M27" i="1"/>
  <c r="N27" i="1"/>
  <c r="O27" i="1"/>
  <c r="P27" i="1"/>
  <c r="Q27" i="1"/>
  <c r="R27" i="1"/>
  <c r="S27" i="1"/>
  <c r="T27" i="1"/>
  <c r="L28" i="1"/>
  <c r="M28" i="1"/>
  <c r="N28" i="1"/>
  <c r="O28" i="1"/>
  <c r="P28" i="1"/>
  <c r="Q28" i="1"/>
  <c r="R28" i="1"/>
  <c r="S28" i="1"/>
  <c r="T28" i="1"/>
  <c r="L29" i="1"/>
  <c r="M29" i="1"/>
  <c r="N29" i="1"/>
  <c r="O29" i="1"/>
  <c r="P29" i="1"/>
  <c r="Q29" i="1"/>
  <c r="R29" i="1"/>
  <c r="S29" i="1"/>
  <c r="T29" i="1"/>
  <c r="L30" i="1"/>
  <c r="M30" i="1"/>
  <c r="N30" i="1"/>
  <c r="O30" i="1"/>
  <c r="P30" i="1"/>
  <c r="Q30" i="1"/>
  <c r="R30" i="1"/>
  <c r="S30" i="1"/>
  <c r="T30" i="1"/>
  <c r="L31" i="1"/>
  <c r="M31" i="1"/>
  <c r="N31" i="1"/>
  <c r="O31" i="1"/>
  <c r="P31" i="1"/>
  <c r="Q31" i="1"/>
  <c r="R31" i="1"/>
  <c r="S31" i="1"/>
  <c r="T31" i="1"/>
  <c r="L32" i="1"/>
  <c r="M32" i="1"/>
  <c r="N32" i="1"/>
  <c r="O32" i="1"/>
  <c r="P32" i="1"/>
  <c r="Q32" i="1"/>
  <c r="R32" i="1"/>
  <c r="S32" i="1"/>
  <c r="T32" i="1"/>
  <c r="L33" i="1"/>
  <c r="M33" i="1"/>
  <c r="N33" i="1"/>
  <c r="O33" i="1"/>
  <c r="P33" i="1"/>
  <c r="Q33" i="1"/>
  <c r="R33" i="1"/>
  <c r="S33" i="1"/>
  <c r="T33" i="1"/>
  <c r="L34" i="1"/>
  <c r="M34" i="1"/>
  <c r="N34" i="1"/>
  <c r="O34" i="1"/>
  <c r="P34" i="1"/>
  <c r="Q34" i="1"/>
  <c r="R34" i="1"/>
  <c r="S34" i="1"/>
  <c r="T34" i="1"/>
  <c r="L35" i="1"/>
  <c r="M35" i="1"/>
  <c r="N35" i="1"/>
  <c r="O35" i="1"/>
  <c r="P35" i="1"/>
  <c r="Q35" i="1"/>
  <c r="R35" i="1"/>
  <c r="S35" i="1"/>
  <c r="T35" i="1"/>
  <c r="L36" i="1"/>
  <c r="M36" i="1"/>
  <c r="N36" i="1"/>
  <c r="O36" i="1"/>
  <c r="P36" i="1"/>
  <c r="Q36" i="1"/>
  <c r="R36" i="1"/>
  <c r="S36" i="1"/>
  <c r="T36" i="1"/>
  <c r="L37" i="1"/>
  <c r="M37" i="1"/>
  <c r="N37" i="1"/>
  <c r="O37" i="1"/>
  <c r="P37" i="1"/>
  <c r="Q37" i="1"/>
  <c r="R37" i="1"/>
  <c r="S37" i="1"/>
  <c r="T37" i="1"/>
  <c r="L38" i="1"/>
  <c r="M38" i="1"/>
  <c r="N38" i="1"/>
  <c r="O38" i="1"/>
  <c r="P38" i="1"/>
  <c r="Q38" i="1"/>
  <c r="R38" i="1"/>
  <c r="S38" i="1"/>
  <c r="T38" i="1"/>
  <c r="L39" i="1"/>
  <c r="M39" i="1"/>
  <c r="N39" i="1"/>
  <c r="O39" i="1"/>
  <c r="P39" i="1"/>
  <c r="Q39" i="1"/>
  <c r="R39" i="1"/>
  <c r="S39" i="1"/>
  <c r="T39" i="1"/>
  <c r="L40" i="1"/>
  <c r="M40" i="1"/>
  <c r="N40" i="1"/>
  <c r="O40" i="1"/>
  <c r="P40" i="1"/>
  <c r="Q40" i="1"/>
  <c r="R40" i="1"/>
  <c r="S40" i="1"/>
  <c r="T40" i="1"/>
  <c r="L41" i="1"/>
  <c r="M41" i="1"/>
  <c r="N41" i="1"/>
  <c r="O41" i="1"/>
  <c r="P41" i="1"/>
  <c r="Q41" i="1"/>
  <c r="R41" i="1"/>
  <c r="S41" i="1"/>
  <c r="T41" i="1"/>
  <c r="L42" i="1"/>
  <c r="M42" i="1"/>
  <c r="N42" i="1"/>
  <c r="O42" i="1"/>
  <c r="P42" i="1"/>
  <c r="Q42" i="1"/>
  <c r="R42" i="1"/>
  <c r="S42" i="1"/>
  <c r="T42" i="1"/>
  <c r="L43" i="1"/>
  <c r="M43" i="1"/>
  <c r="N43" i="1"/>
  <c r="O43" i="1"/>
  <c r="P43" i="1"/>
  <c r="Q43" i="1"/>
  <c r="R43" i="1"/>
  <c r="S43" i="1"/>
  <c r="T43" i="1"/>
  <c r="L44" i="1"/>
  <c r="M44" i="1"/>
  <c r="N44" i="1"/>
  <c r="O44" i="1"/>
  <c r="P44" i="1"/>
  <c r="Q44" i="1"/>
  <c r="R44" i="1"/>
  <c r="S44" i="1"/>
  <c r="T44" i="1"/>
  <c r="L45" i="1"/>
  <c r="M45" i="1"/>
  <c r="N45" i="1"/>
  <c r="O45" i="1"/>
  <c r="P45" i="1"/>
  <c r="Q45" i="1"/>
  <c r="R45" i="1"/>
  <c r="S45" i="1"/>
  <c r="T45" i="1"/>
  <c r="L46" i="1"/>
  <c r="M46" i="1"/>
  <c r="N46" i="1"/>
  <c r="O46" i="1"/>
  <c r="P46" i="1"/>
  <c r="Q46" i="1"/>
  <c r="R46" i="1"/>
  <c r="S46" i="1"/>
  <c r="T46" i="1"/>
  <c r="L47" i="1"/>
  <c r="M47" i="1"/>
  <c r="N47" i="1"/>
  <c r="O47" i="1"/>
  <c r="P47" i="1"/>
  <c r="Q47" i="1"/>
  <c r="R47" i="1"/>
  <c r="S47" i="1"/>
  <c r="T47" i="1"/>
  <c r="L48" i="1"/>
  <c r="M48" i="1"/>
  <c r="N48" i="1"/>
  <c r="O48" i="1"/>
  <c r="P48" i="1"/>
  <c r="Q48" i="1"/>
  <c r="R48" i="1"/>
  <c r="S48" i="1"/>
  <c r="T48" i="1"/>
  <c r="L49" i="1"/>
  <c r="M49" i="1"/>
  <c r="N49" i="1"/>
  <c r="O49" i="1"/>
  <c r="P49" i="1"/>
  <c r="Q49" i="1"/>
  <c r="R49" i="1"/>
  <c r="S49" i="1"/>
  <c r="T49" i="1"/>
  <c r="L50" i="1"/>
  <c r="M50" i="1"/>
  <c r="N50" i="1"/>
  <c r="O50" i="1"/>
  <c r="P50" i="1"/>
  <c r="Q50" i="1"/>
  <c r="R50" i="1"/>
  <c r="S50" i="1"/>
  <c r="T50" i="1"/>
  <c r="L51" i="1"/>
  <c r="M51" i="1"/>
  <c r="N51" i="1"/>
  <c r="O51" i="1"/>
  <c r="P51" i="1"/>
  <c r="Q51" i="1"/>
  <c r="R51" i="1"/>
  <c r="S51" i="1"/>
  <c r="T51" i="1"/>
  <c r="L52" i="1"/>
  <c r="M52" i="1"/>
  <c r="N52" i="1"/>
  <c r="O52" i="1"/>
  <c r="P52" i="1"/>
  <c r="Q52" i="1"/>
  <c r="R52" i="1"/>
  <c r="S52" i="1"/>
  <c r="T52" i="1"/>
  <c r="L53" i="1"/>
  <c r="M53" i="1"/>
  <c r="N53" i="1"/>
  <c r="O53" i="1"/>
  <c r="P53" i="1"/>
  <c r="Q53" i="1"/>
  <c r="R53" i="1"/>
  <c r="S53" i="1"/>
  <c r="T53" i="1"/>
  <c r="L54" i="1"/>
  <c r="M54" i="1"/>
  <c r="N54" i="1"/>
  <c r="O54" i="1"/>
  <c r="P54" i="1"/>
  <c r="Q54" i="1"/>
  <c r="R54" i="1"/>
  <c r="S54" i="1"/>
  <c r="T54" i="1"/>
  <c r="L55" i="1"/>
  <c r="M55" i="1"/>
  <c r="N55" i="1"/>
  <c r="O55" i="1"/>
  <c r="P55" i="1"/>
  <c r="Q55" i="1"/>
  <c r="R55" i="1"/>
  <c r="S55" i="1"/>
  <c r="T55" i="1"/>
  <c r="L7" i="1"/>
  <c r="M7" i="1"/>
  <c r="N7" i="1"/>
  <c r="O7" i="1"/>
  <c r="P7" i="1"/>
  <c r="Q7" i="1"/>
  <c r="R7" i="1"/>
  <c r="S7" i="1"/>
  <c r="T7" i="1"/>
  <c r="L8" i="1"/>
  <c r="M8" i="1"/>
  <c r="N8" i="1"/>
  <c r="O8" i="1"/>
  <c r="P8" i="1"/>
  <c r="Q8" i="1"/>
  <c r="R8" i="1"/>
  <c r="S8" i="1"/>
  <c r="T8" i="1"/>
  <c r="L9" i="1"/>
  <c r="M9" i="1"/>
  <c r="N9" i="1"/>
  <c r="O9" i="1"/>
  <c r="P9" i="1"/>
  <c r="Q9" i="1"/>
  <c r="R9" i="1"/>
  <c r="S9" i="1"/>
  <c r="T9" i="1"/>
  <c r="L10" i="1"/>
  <c r="M10" i="1"/>
  <c r="N10" i="1"/>
  <c r="O10" i="1"/>
  <c r="P10" i="1"/>
  <c r="Q10" i="1"/>
  <c r="R10" i="1"/>
  <c r="S10" i="1"/>
  <c r="T10" i="1"/>
  <c r="L11" i="1"/>
  <c r="M11" i="1"/>
  <c r="N11" i="1"/>
  <c r="O11" i="1"/>
  <c r="P11" i="1"/>
  <c r="Q11" i="1"/>
  <c r="R11" i="1"/>
  <c r="S11" i="1"/>
  <c r="T11" i="1"/>
  <c r="L12" i="1"/>
  <c r="M12" i="1"/>
  <c r="N12" i="1"/>
  <c r="O12" i="1"/>
  <c r="P12" i="1"/>
  <c r="Q12" i="1"/>
  <c r="R12" i="1"/>
  <c r="S12" i="1"/>
  <c r="T12" i="1"/>
  <c r="L3" i="1"/>
  <c r="M3" i="1"/>
  <c r="N3" i="1"/>
  <c r="O3" i="1"/>
  <c r="P3" i="1"/>
  <c r="Q3" i="1"/>
  <c r="R3" i="1"/>
  <c r="S3" i="1"/>
  <c r="T3" i="1"/>
  <c r="L4" i="1"/>
  <c r="M4" i="1"/>
  <c r="N4" i="1"/>
  <c r="O4" i="1"/>
  <c r="P4" i="1"/>
  <c r="Q4" i="1"/>
  <c r="R4" i="1"/>
  <c r="S4" i="1"/>
  <c r="T4" i="1"/>
  <c r="L5" i="1"/>
  <c r="M5" i="1"/>
  <c r="N5" i="1"/>
  <c r="O5" i="1"/>
  <c r="P5" i="1"/>
  <c r="Q5" i="1"/>
  <c r="R5" i="1"/>
  <c r="S5" i="1"/>
  <c r="T5" i="1"/>
  <c r="L6" i="1"/>
  <c r="M6" i="1"/>
  <c r="N6" i="1"/>
  <c r="O6" i="1"/>
  <c r="P6" i="1"/>
  <c r="Q6" i="1"/>
  <c r="R6" i="1"/>
  <c r="S6" i="1"/>
  <c r="T6" i="1"/>
  <c r="A156" i="2" l="1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4" i="2"/>
  <c r="A5" i="2"/>
  <c r="A6" i="2"/>
  <c r="A7" i="2"/>
  <c r="A3" i="2"/>
  <c r="AM36" i="1"/>
  <c r="AN36" i="1"/>
  <c r="AO36" i="1"/>
  <c r="AH36" i="1"/>
  <c r="AI36" i="1"/>
  <c r="AJ36" i="1"/>
  <c r="AK36" i="1"/>
  <c r="AL36" i="1"/>
  <c r="Y370" i="1" l="1"/>
  <c r="Y399" i="1"/>
  <c r="V440" i="1"/>
  <c r="W440" i="1" s="1"/>
  <c r="Y466" i="1"/>
  <c r="Y475" i="1"/>
  <c r="V609" i="1"/>
  <c r="W609" i="1" s="1"/>
  <c r="V617" i="1"/>
  <c r="W617" i="1" s="1"/>
  <c r="V625" i="1"/>
  <c r="W625" i="1" s="1"/>
  <c r="V348" i="1"/>
  <c r="W348" i="1" s="1"/>
  <c r="V311" i="1"/>
  <c r="W311" i="1" s="1"/>
  <c r="V312" i="1"/>
  <c r="W312" i="1" s="1"/>
  <c r="V313" i="1"/>
  <c r="W313" i="1" s="1"/>
  <c r="V314" i="1"/>
  <c r="W314" i="1" s="1"/>
  <c r="V554" i="1" l="1"/>
  <c r="W554" i="1" s="1"/>
  <c r="V342" i="1"/>
  <c r="W342" i="1" s="1"/>
  <c r="V631" i="1"/>
  <c r="W631" i="1" s="1"/>
  <c r="V623" i="1"/>
  <c r="W623" i="1" s="1"/>
  <c r="V615" i="1"/>
  <c r="W615" i="1" s="1"/>
  <c r="V607" i="1"/>
  <c r="W607" i="1" s="1"/>
  <c r="V582" i="1"/>
  <c r="W582" i="1" s="1"/>
  <c r="Y574" i="1"/>
  <c r="V564" i="1"/>
  <c r="W564" i="1" s="1"/>
  <c r="V545" i="1"/>
  <c r="W545" i="1" s="1"/>
  <c r="V532" i="1"/>
  <c r="W532" i="1" s="1"/>
  <c r="V485" i="1"/>
  <c r="W485" i="1" s="1"/>
  <c r="V453" i="1"/>
  <c r="W453" i="1" s="1"/>
  <c r="V315" i="1"/>
  <c r="W315" i="1" s="1"/>
  <c r="V635" i="1"/>
  <c r="W635" i="1" s="1"/>
  <c r="V565" i="1"/>
  <c r="W565" i="1" s="1"/>
  <c r="V335" i="1"/>
  <c r="W335" i="1" s="1"/>
  <c r="V630" i="1"/>
  <c r="W630" i="1" s="1"/>
  <c r="V622" i="1"/>
  <c r="W622" i="1" s="1"/>
  <c r="V614" i="1"/>
  <c r="W614" i="1" s="1"/>
  <c r="V606" i="1"/>
  <c r="W606" i="1" s="1"/>
  <c r="V597" i="1"/>
  <c r="W597" i="1" s="1"/>
  <c r="Y589" i="1"/>
  <c r="V573" i="1"/>
  <c r="W573" i="1" s="1"/>
  <c r="Y563" i="1"/>
  <c r="V517" i="1"/>
  <c r="W517" i="1" s="1"/>
  <c r="V505" i="1"/>
  <c r="W505" i="1" s="1"/>
  <c r="Y504" i="1"/>
  <c r="Y495" i="1"/>
  <c r="V492" i="1"/>
  <c r="W492" i="1" s="1"/>
  <c r="V482" i="1"/>
  <c r="W482" i="1" s="1"/>
  <c r="Y472" i="1"/>
  <c r="Y460" i="1"/>
  <c r="Y404" i="1"/>
  <c r="Y633" i="1"/>
  <c r="Y624" i="1"/>
  <c r="Y599" i="1"/>
  <c r="V331" i="1"/>
  <c r="W331" i="1" s="1"/>
  <c r="V330" i="1"/>
  <c r="W330" i="1" s="1"/>
  <c r="V329" i="1"/>
  <c r="W329" i="1" s="1"/>
  <c r="V334" i="1"/>
  <c r="W334" i="1" s="1"/>
  <c r="V629" i="1"/>
  <c r="W629" i="1" s="1"/>
  <c r="V621" i="1"/>
  <c r="W621" i="1" s="1"/>
  <c r="V613" i="1"/>
  <c r="W613" i="1" s="1"/>
  <c r="Y605" i="1"/>
  <c r="V551" i="1"/>
  <c r="W551" i="1" s="1"/>
  <c r="Y427" i="1"/>
  <c r="V634" i="1"/>
  <c r="W634" i="1" s="1"/>
  <c r="V608" i="1"/>
  <c r="W608" i="1" s="1"/>
  <c r="Y454" i="1"/>
  <c r="Y369" i="1"/>
  <c r="V328" i="1"/>
  <c r="W328" i="1" s="1"/>
  <c r="V320" i="1"/>
  <c r="W320" i="1" s="1"/>
  <c r="V318" i="1"/>
  <c r="W318" i="1" s="1"/>
  <c r="V333" i="1"/>
  <c r="W333" i="1" s="1"/>
  <c r="V628" i="1"/>
  <c r="W628" i="1" s="1"/>
  <c r="Y620" i="1"/>
  <c r="V612" i="1"/>
  <c r="W612" i="1" s="1"/>
  <c r="V501" i="1"/>
  <c r="W501" i="1" s="1"/>
  <c r="Y636" i="1"/>
  <c r="V632" i="1"/>
  <c r="W632" i="1" s="1"/>
  <c r="Y591" i="1"/>
  <c r="V327" i="1"/>
  <c r="W327" i="1" s="1"/>
  <c r="Y319" i="1"/>
  <c r="V326" i="1"/>
  <c r="W326" i="1" s="1"/>
  <c r="V325" i="1"/>
  <c r="W325" i="1" s="1"/>
  <c r="V324" i="1"/>
  <c r="W324" i="1" s="1"/>
  <c r="Y323" i="1"/>
  <c r="V322" i="1"/>
  <c r="W322" i="1" s="1"/>
  <c r="V321" i="1"/>
  <c r="W321" i="1" s="1"/>
  <c r="V317" i="1"/>
  <c r="W317" i="1" s="1"/>
  <c r="V332" i="1"/>
  <c r="W332" i="1" s="1"/>
  <c r="V627" i="1"/>
  <c r="W627" i="1" s="1"/>
  <c r="V619" i="1"/>
  <c r="W619" i="1" s="1"/>
  <c r="Y611" i="1"/>
  <c r="V603" i="1"/>
  <c r="W603" i="1" s="1"/>
  <c r="V602" i="1"/>
  <c r="W602" i="1" s="1"/>
  <c r="Y594" i="1"/>
  <c r="V586" i="1"/>
  <c r="W586" i="1" s="1"/>
  <c r="V538" i="1"/>
  <c r="W538" i="1" s="1"/>
  <c r="Y536" i="1"/>
  <c r="V526" i="1"/>
  <c r="W526" i="1" s="1"/>
  <c r="Y386" i="1"/>
  <c r="V384" i="1"/>
  <c r="W384" i="1" s="1"/>
  <c r="Y378" i="1"/>
  <c r="V376" i="1"/>
  <c r="W376" i="1" s="1"/>
  <c r="Y356" i="1"/>
  <c r="Y557" i="1"/>
  <c r="V616" i="1"/>
  <c r="W616" i="1" s="1"/>
  <c r="V316" i="1"/>
  <c r="W316" i="1" s="1"/>
  <c r="V349" i="1"/>
  <c r="W349" i="1" s="1"/>
  <c r="V637" i="1"/>
  <c r="W637" i="1" s="1"/>
  <c r="V626" i="1"/>
  <c r="W626" i="1" s="1"/>
  <c r="V618" i="1"/>
  <c r="W618" i="1" s="1"/>
  <c r="V610" i="1"/>
  <c r="W610" i="1" s="1"/>
  <c r="Y567" i="1"/>
  <c r="Y411" i="1"/>
  <c r="V355" i="1"/>
  <c r="W355" i="1" s="1"/>
  <c r="Y339" i="1"/>
  <c r="V339" i="1"/>
  <c r="W339" i="1" s="1"/>
  <c r="D339" i="2" s="1"/>
  <c r="V338" i="1"/>
  <c r="W338" i="1" s="1"/>
  <c r="Y338" i="1"/>
  <c r="V337" i="1"/>
  <c r="W337" i="1" s="1"/>
  <c r="Y337" i="1"/>
  <c r="V336" i="1"/>
  <c r="W336" i="1" s="1"/>
  <c r="D336" i="2" s="1"/>
  <c r="Y336" i="1"/>
  <c r="V596" i="1"/>
  <c r="W596" i="1" s="1"/>
  <c r="Y596" i="1"/>
  <c r="Y588" i="1"/>
  <c r="Y580" i="1"/>
  <c r="V580" i="1"/>
  <c r="W580" i="1" s="1"/>
  <c r="D580" i="2" s="1"/>
  <c r="V572" i="1"/>
  <c r="W572" i="1" s="1"/>
  <c r="Y562" i="1"/>
  <c r="V562" i="1"/>
  <c r="W562" i="1" s="1"/>
  <c r="Y543" i="1"/>
  <c r="V543" i="1"/>
  <c r="W543" i="1" s="1"/>
  <c r="D543" i="2" s="1"/>
  <c r="Y542" i="1"/>
  <c r="V541" i="1"/>
  <c r="W541" i="1" s="1"/>
  <c r="Y530" i="1"/>
  <c r="V530" i="1"/>
  <c r="W530" i="1" s="1"/>
  <c r="D530" i="2" s="1"/>
  <c r="V529" i="1"/>
  <c r="W529" i="1" s="1"/>
  <c r="V516" i="1"/>
  <c r="W516" i="1" s="1"/>
  <c r="Y515" i="1"/>
  <c r="V515" i="1"/>
  <c r="W515" i="1" s="1"/>
  <c r="D515" i="2" s="1"/>
  <c r="V503" i="1"/>
  <c r="W503" i="1" s="1"/>
  <c r="D503" i="2" s="1"/>
  <c r="Y503" i="1"/>
  <c r="V491" i="1"/>
  <c r="W491" i="1" s="1"/>
  <c r="Y480" i="1"/>
  <c r="V480" i="1"/>
  <c r="W480" i="1" s="1"/>
  <c r="V471" i="1"/>
  <c r="W471" i="1" s="1"/>
  <c r="Y471" i="1"/>
  <c r="V459" i="1"/>
  <c r="W459" i="1" s="1"/>
  <c r="V451" i="1"/>
  <c r="W451" i="1" s="1"/>
  <c r="D451" i="2" s="1"/>
  <c r="Y451" i="1"/>
  <c r="Y450" i="1"/>
  <c r="V450" i="1"/>
  <c r="W450" i="1" s="1"/>
  <c r="D450" i="2" s="1"/>
  <c r="Y449" i="1"/>
  <c r="V449" i="1"/>
  <c r="W449" i="1" s="1"/>
  <c r="V435" i="1"/>
  <c r="W435" i="1" s="1"/>
  <c r="Y435" i="1"/>
  <c r="Y422" i="1"/>
  <c r="V422" i="1"/>
  <c r="W422" i="1" s="1"/>
  <c r="Y406" i="1"/>
  <c r="V394" i="1"/>
  <c r="W394" i="1" s="1"/>
  <c r="D394" i="2" s="1"/>
  <c r="Y394" i="1"/>
  <c r="V362" i="1"/>
  <c r="W362" i="1" s="1"/>
  <c r="Y362" i="1"/>
  <c r="V361" i="1"/>
  <c r="W361" i="1" s="1"/>
  <c r="Y361" i="1"/>
  <c r="V360" i="1"/>
  <c r="W360" i="1" s="1"/>
  <c r="Y360" i="1"/>
  <c r="V359" i="1"/>
  <c r="W359" i="1" s="1"/>
  <c r="D359" i="2" s="1"/>
  <c r="Y359" i="1"/>
  <c r="Y333" i="1"/>
  <c r="Y330" i="1"/>
  <c r="Y326" i="1"/>
  <c r="V323" i="1"/>
  <c r="W323" i="1" s="1"/>
  <c r="D323" i="2" s="1"/>
  <c r="V319" i="1"/>
  <c r="W319" i="1" s="1"/>
  <c r="Y315" i="1"/>
  <c r="D315" i="2" s="1"/>
  <c r="Y312" i="1"/>
  <c r="D312" i="2" s="1"/>
  <c r="V636" i="1"/>
  <c r="W636" i="1" s="1"/>
  <c r="D636" i="2" s="1"/>
  <c r="V633" i="1"/>
  <c r="W633" i="1" s="1"/>
  <c r="D633" i="2" s="1"/>
  <c r="Y629" i="1"/>
  <c r="D629" i="2" s="1"/>
  <c r="Y626" i="1"/>
  <c r="D626" i="2" s="1"/>
  <c r="V624" i="1"/>
  <c r="W624" i="1" s="1"/>
  <c r="D624" i="2" s="1"/>
  <c r="Y617" i="1"/>
  <c r="D617" i="2" s="1"/>
  <c r="Y614" i="1"/>
  <c r="D614" i="2" s="1"/>
  <c r="Y608" i="1"/>
  <c r="D608" i="2" s="1"/>
  <c r="V605" i="1"/>
  <c r="W605" i="1" s="1"/>
  <c r="D605" i="2" s="1"/>
  <c r="V599" i="1"/>
  <c r="W599" i="1" s="1"/>
  <c r="D599" i="2" s="1"/>
  <c r="Y582" i="1"/>
  <c r="V567" i="1"/>
  <c r="W567" i="1" s="1"/>
  <c r="V557" i="1"/>
  <c r="W557" i="1" s="1"/>
  <c r="Y384" i="1"/>
  <c r="V340" i="1"/>
  <c r="W340" i="1" s="1"/>
  <c r="Y604" i="1"/>
  <c r="V595" i="1"/>
  <c r="W595" i="1" s="1"/>
  <c r="V587" i="1"/>
  <c r="W587" i="1" s="1"/>
  <c r="D587" i="2" s="1"/>
  <c r="Y587" i="1"/>
  <c r="Y579" i="1"/>
  <c r="Y571" i="1"/>
  <c r="V571" i="1"/>
  <c r="W571" i="1" s="1"/>
  <c r="Y561" i="1"/>
  <c r="V560" i="1"/>
  <c r="W560" i="1" s="1"/>
  <c r="D560" i="2" s="1"/>
  <c r="Y560" i="1"/>
  <c r="V550" i="1"/>
  <c r="W550" i="1" s="1"/>
  <c r="D550" i="2" s="1"/>
  <c r="Y550" i="1"/>
  <c r="V540" i="1"/>
  <c r="W540" i="1" s="1"/>
  <c r="Y540" i="1"/>
  <c r="V528" i="1"/>
  <c r="W528" i="1" s="1"/>
  <c r="Y528" i="1"/>
  <c r="V527" i="1"/>
  <c r="W527" i="1" s="1"/>
  <c r="D527" i="2" s="1"/>
  <c r="Y527" i="1"/>
  <c r="Y514" i="1"/>
  <c r="V513" i="1"/>
  <c r="W513" i="1" s="1"/>
  <c r="Y513" i="1"/>
  <c r="Y512" i="1"/>
  <c r="V512" i="1"/>
  <c r="W512" i="1" s="1"/>
  <c r="Y511" i="1"/>
  <c r="V502" i="1"/>
  <c r="W502" i="1" s="1"/>
  <c r="D502" i="2" s="1"/>
  <c r="Y502" i="1"/>
  <c r="Y490" i="1"/>
  <c r="V490" i="1"/>
  <c r="W490" i="1" s="1"/>
  <c r="Y479" i="1"/>
  <c r="V478" i="1"/>
  <c r="W478" i="1" s="1"/>
  <c r="V470" i="1"/>
  <c r="W470" i="1" s="1"/>
  <c r="Y470" i="1"/>
  <c r="Y458" i="1"/>
  <c r="V458" i="1"/>
  <c r="W458" i="1" s="1"/>
  <c r="Y448" i="1"/>
  <c r="V447" i="1"/>
  <c r="W447" i="1" s="1"/>
  <c r="Y447" i="1"/>
  <c r="V446" i="1"/>
  <c r="W446" i="1" s="1"/>
  <c r="V434" i="1"/>
  <c r="W434" i="1" s="1"/>
  <c r="Y421" i="1"/>
  <c r="V421" i="1"/>
  <c r="W421" i="1" s="1"/>
  <c r="D421" i="2" s="1"/>
  <c r="V420" i="1"/>
  <c r="W420" i="1" s="1"/>
  <c r="Y419" i="1"/>
  <c r="V418" i="1"/>
  <c r="W418" i="1" s="1"/>
  <c r="Y418" i="1"/>
  <c r="V417" i="1"/>
  <c r="W417" i="1" s="1"/>
  <c r="Y417" i="1"/>
  <c r="V416" i="1"/>
  <c r="W416" i="1" s="1"/>
  <c r="Y416" i="1"/>
  <c r="V405" i="1"/>
  <c r="W405" i="1" s="1"/>
  <c r="D405" i="2" s="1"/>
  <c r="Y405" i="1"/>
  <c r="V404" i="1"/>
  <c r="W404" i="1" s="1"/>
  <c r="D404" i="2" s="1"/>
  <c r="V403" i="1"/>
  <c r="W403" i="1" s="1"/>
  <c r="Y403" i="1"/>
  <c r="Y393" i="1"/>
  <c r="V358" i="1"/>
  <c r="W358" i="1" s="1"/>
  <c r="Y358" i="1"/>
  <c r="Y322" i="1"/>
  <c r="D322" i="2" s="1"/>
  <c r="Y318" i="1"/>
  <c r="Y635" i="1"/>
  <c r="Y632" i="1"/>
  <c r="D632" i="2" s="1"/>
  <c r="Y623" i="1"/>
  <c r="D623" i="2" s="1"/>
  <c r="V620" i="1"/>
  <c r="W620" i="1" s="1"/>
  <c r="D620" i="2" s="1"/>
  <c r="V611" i="1"/>
  <c r="W611" i="1" s="1"/>
  <c r="D611" i="2" s="1"/>
  <c r="V604" i="1"/>
  <c r="W604" i="1" s="1"/>
  <c r="D604" i="2" s="1"/>
  <c r="Y597" i="1"/>
  <c r="D597" i="2" s="1"/>
  <c r="V542" i="1"/>
  <c r="W542" i="1" s="1"/>
  <c r="D542" i="2" s="1"/>
  <c r="Y529" i="1"/>
  <c r="V479" i="1"/>
  <c r="W479" i="1" s="1"/>
  <c r="D479" i="2" s="1"/>
  <c r="Y434" i="1"/>
  <c r="V406" i="1"/>
  <c r="W406" i="1" s="1"/>
  <c r="V378" i="1"/>
  <c r="W378" i="1" s="1"/>
  <c r="D378" i="2" s="1"/>
  <c r="V549" i="1"/>
  <c r="W549" i="1" s="1"/>
  <c r="Y549" i="1"/>
  <c r="Y539" i="1"/>
  <c r="V537" i="1"/>
  <c r="W537" i="1" s="1"/>
  <c r="Y537" i="1"/>
  <c r="V510" i="1"/>
  <c r="W510" i="1" s="1"/>
  <c r="V500" i="1"/>
  <c r="W500" i="1" s="1"/>
  <c r="Y500" i="1"/>
  <c r="Y489" i="1"/>
  <c r="V477" i="1"/>
  <c r="W477" i="1" s="1"/>
  <c r="D477" i="2" s="1"/>
  <c r="Y477" i="1"/>
  <c r="V469" i="1"/>
  <c r="W469" i="1" s="1"/>
  <c r="Y469" i="1"/>
  <c r="V457" i="1"/>
  <c r="W457" i="1" s="1"/>
  <c r="D457" i="2" s="1"/>
  <c r="Y457" i="1"/>
  <c r="V445" i="1"/>
  <c r="W445" i="1" s="1"/>
  <c r="Y445" i="1"/>
  <c r="V433" i="1"/>
  <c r="W433" i="1" s="1"/>
  <c r="V415" i="1"/>
  <c r="W415" i="1" s="1"/>
  <c r="Y415" i="1"/>
  <c r="V402" i="1"/>
  <c r="W402" i="1" s="1"/>
  <c r="Y402" i="1"/>
  <c r="Y392" i="1"/>
  <c r="Y391" i="1"/>
  <c r="V391" i="1"/>
  <c r="W391" i="1" s="1"/>
  <c r="D391" i="2" s="1"/>
  <c r="Y390" i="1"/>
  <c r="V390" i="1"/>
  <c r="W390" i="1" s="1"/>
  <c r="V389" i="1"/>
  <c r="W389" i="1" s="1"/>
  <c r="Y389" i="1"/>
  <c r="Y388" i="1"/>
  <c r="V388" i="1"/>
  <c r="W388" i="1" s="1"/>
  <c r="V387" i="1"/>
  <c r="W387" i="1" s="1"/>
  <c r="Y387" i="1"/>
  <c r="V385" i="1"/>
  <c r="W385" i="1" s="1"/>
  <c r="D385" i="2" s="1"/>
  <c r="Y385" i="1"/>
  <c r="D384" i="2"/>
  <c r="V383" i="1"/>
  <c r="W383" i="1" s="1"/>
  <c r="Y383" i="1"/>
  <c r="V382" i="1"/>
  <c r="W382" i="1" s="1"/>
  <c r="Y382" i="1"/>
  <c r="V381" i="1"/>
  <c r="W381" i="1" s="1"/>
  <c r="Y381" i="1"/>
  <c r="V380" i="1"/>
  <c r="W380" i="1" s="1"/>
  <c r="Y380" i="1"/>
  <c r="V379" i="1"/>
  <c r="W379" i="1" s="1"/>
  <c r="Y379" i="1"/>
  <c r="V377" i="1"/>
  <c r="W377" i="1" s="1"/>
  <c r="Y377" i="1"/>
  <c r="V375" i="1"/>
  <c r="W375" i="1" s="1"/>
  <c r="D375" i="2" s="1"/>
  <c r="Y375" i="1"/>
  <c r="V374" i="1"/>
  <c r="W374" i="1" s="1"/>
  <c r="Y374" i="1"/>
  <c r="V373" i="1"/>
  <c r="W373" i="1" s="1"/>
  <c r="Y373" i="1"/>
  <c r="V372" i="1"/>
  <c r="W372" i="1" s="1"/>
  <c r="Y372" i="1"/>
  <c r="V357" i="1"/>
  <c r="W357" i="1" s="1"/>
  <c r="D357" i="2" s="1"/>
  <c r="Y357" i="1"/>
  <c r="Y332" i="1"/>
  <c r="Y329" i="1"/>
  <c r="Y325" i="1"/>
  <c r="D325" i="2" s="1"/>
  <c r="Y311" i="1"/>
  <c r="D311" i="2" s="1"/>
  <c r="Y628" i="1"/>
  <c r="Y619" i="1"/>
  <c r="D619" i="2" s="1"/>
  <c r="Y613" i="1"/>
  <c r="D613" i="2" s="1"/>
  <c r="Y610" i="1"/>
  <c r="Y603" i="1"/>
  <c r="D603" i="2" s="1"/>
  <c r="Y572" i="1"/>
  <c r="Y541" i="1"/>
  <c r="Y516" i="1"/>
  <c r="Y491" i="1"/>
  <c r="Y478" i="1"/>
  <c r="Y459" i="1"/>
  <c r="Y433" i="1"/>
  <c r="Y376" i="1"/>
  <c r="D376" i="2" s="1"/>
  <c r="V559" i="1"/>
  <c r="W559" i="1" s="1"/>
  <c r="Y559" i="1"/>
  <c r="V352" i="1"/>
  <c r="W352" i="1" s="1"/>
  <c r="D352" i="2" s="1"/>
  <c r="Y352" i="1"/>
  <c r="V351" i="1"/>
  <c r="W351" i="1" s="1"/>
  <c r="Y351" i="1"/>
  <c r="V350" i="1"/>
  <c r="W350" i="1" s="1"/>
  <c r="Y350" i="1"/>
  <c r="Y349" i="1"/>
  <c r="D349" i="2" s="1"/>
  <c r="Y601" i="1"/>
  <c r="Y593" i="1"/>
  <c r="V585" i="1"/>
  <c r="W585" i="1" s="1"/>
  <c r="V577" i="1"/>
  <c r="W577" i="1" s="1"/>
  <c r="V569" i="1"/>
  <c r="W569" i="1" s="1"/>
  <c r="D569" i="2" s="1"/>
  <c r="Y569" i="1"/>
  <c r="V568" i="1"/>
  <c r="W568" i="1" s="1"/>
  <c r="V558" i="1"/>
  <c r="W558" i="1" s="1"/>
  <c r="Y558" i="1"/>
  <c r="Y548" i="1"/>
  <c r="V535" i="1"/>
  <c r="W535" i="1" s="1"/>
  <c r="V525" i="1"/>
  <c r="W525" i="1" s="1"/>
  <c r="Y525" i="1"/>
  <c r="Y524" i="1"/>
  <c r="V524" i="1"/>
  <c r="W524" i="1" s="1"/>
  <c r="V509" i="1"/>
  <c r="W509" i="1" s="1"/>
  <c r="Y509" i="1"/>
  <c r="Y499" i="1"/>
  <c r="V499" i="1"/>
  <c r="W499" i="1" s="1"/>
  <c r="V488" i="1"/>
  <c r="W488" i="1" s="1"/>
  <c r="Y476" i="1"/>
  <c r="V476" i="1"/>
  <c r="W476" i="1" s="1"/>
  <c r="V468" i="1"/>
  <c r="W468" i="1" s="1"/>
  <c r="Y468" i="1"/>
  <c r="Y456" i="1"/>
  <c r="V456" i="1"/>
  <c r="W456" i="1" s="1"/>
  <c r="V444" i="1"/>
  <c r="W444" i="1" s="1"/>
  <c r="Y444" i="1"/>
  <c r="V432" i="1"/>
  <c r="W432" i="1" s="1"/>
  <c r="D432" i="2" s="1"/>
  <c r="Y432" i="1"/>
  <c r="V431" i="1"/>
  <c r="W431" i="1" s="1"/>
  <c r="Y431" i="1"/>
  <c r="Y430" i="1"/>
  <c r="V430" i="1"/>
  <c r="W430" i="1" s="1"/>
  <c r="Y429" i="1"/>
  <c r="V429" i="1"/>
  <c r="W429" i="1" s="1"/>
  <c r="Y428" i="1"/>
  <c r="V428" i="1"/>
  <c r="W428" i="1" s="1"/>
  <c r="V414" i="1"/>
  <c r="W414" i="1" s="1"/>
  <c r="Y414" i="1"/>
  <c r="Y413" i="1"/>
  <c r="V412" i="1"/>
  <c r="W412" i="1" s="1"/>
  <c r="D412" i="2" s="1"/>
  <c r="Y412" i="1"/>
  <c r="V411" i="1"/>
  <c r="W411" i="1" s="1"/>
  <c r="D411" i="2" s="1"/>
  <c r="V401" i="1"/>
  <c r="W401" i="1" s="1"/>
  <c r="D401" i="2" s="1"/>
  <c r="Y401" i="1"/>
  <c r="V371" i="1"/>
  <c r="W371" i="1" s="1"/>
  <c r="Y371" i="1"/>
  <c r="Y355" i="1"/>
  <c r="D355" i="2" s="1"/>
  <c r="V354" i="1"/>
  <c r="W354" i="1" s="1"/>
  <c r="D354" i="2" s="1"/>
  <c r="Y354" i="1"/>
  <c r="V353" i="1"/>
  <c r="W353" i="1" s="1"/>
  <c r="Y353" i="1"/>
  <c r="Y321" i="1"/>
  <c r="D321" i="2" s="1"/>
  <c r="Y317" i="1"/>
  <c r="Y314" i="1"/>
  <c r="D314" i="2" s="1"/>
  <c r="Y625" i="1"/>
  <c r="D625" i="2" s="1"/>
  <c r="Y622" i="1"/>
  <c r="D622" i="2" s="1"/>
  <c r="Y616" i="1"/>
  <c r="D616" i="2" s="1"/>
  <c r="Y607" i="1"/>
  <c r="D607" i="2" s="1"/>
  <c r="Y602" i="1"/>
  <c r="D602" i="2" s="1"/>
  <c r="Y595" i="1"/>
  <c r="V588" i="1"/>
  <c r="W588" i="1" s="1"/>
  <c r="D588" i="2" s="1"/>
  <c r="Y551" i="1"/>
  <c r="D551" i="2" s="1"/>
  <c r="V539" i="1"/>
  <c r="W539" i="1" s="1"/>
  <c r="D539" i="2" s="1"/>
  <c r="Y526" i="1"/>
  <c r="D526" i="2" s="1"/>
  <c r="Y501" i="1"/>
  <c r="D501" i="2" s="1"/>
  <c r="V489" i="1"/>
  <c r="W489" i="1" s="1"/>
  <c r="Y570" i="1"/>
  <c r="Y348" i="1"/>
  <c r="D348" i="2" s="1"/>
  <c r="Y347" i="1"/>
  <c r="V347" i="1"/>
  <c r="W347" i="1" s="1"/>
  <c r="V600" i="1"/>
  <c r="W600" i="1" s="1"/>
  <c r="Y592" i="1"/>
  <c r="Y584" i="1"/>
  <c r="V576" i="1"/>
  <c r="W576" i="1" s="1"/>
  <c r="V566" i="1"/>
  <c r="W566" i="1" s="1"/>
  <c r="D566" i="2" s="1"/>
  <c r="Y566" i="1"/>
  <c r="V556" i="1"/>
  <c r="W556" i="1" s="1"/>
  <c r="Y556" i="1"/>
  <c r="Y555" i="1"/>
  <c r="V555" i="1"/>
  <c r="W555" i="1" s="1"/>
  <c r="V547" i="1"/>
  <c r="W547" i="1" s="1"/>
  <c r="V534" i="1"/>
  <c r="W534" i="1" s="1"/>
  <c r="Y534" i="1"/>
  <c r="Y523" i="1"/>
  <c r="V522" i="1"/>
  <c r="W522" i="1" s="1"/>
  <c r="Y522" i="1"/>
  <c r="Y508" i="1"/>
  <c r="V508" i="1"/>
  <c r="W508" i="1" s="1"/>
  <c r="V498" i="1"/>
  <c r="W498" i="1" s="1"/>
  <c r="V487" i="1"/>
  <c r="W487" i="1" s="1"/>
  <c r="Y487" i="1"/>
  <c r="V475" i="1"/>
  <c r="W475" i="1" s="1"/>
  <c r="D475" i="2" s="1"/>
  <c r="V467" i="1"/>
  <c r="W467" i="1" s="1"/>
  <c r="V466" i="1"/>
  <c r="W466" i="1" s="1"/>
  <c r="D466" i="2" s="1"/>
  <c r="Y455" i="1"/>
  <c r="V455" i="1"/>
  <c r="W455" i="1" s="1"/>
  <c r="V443" i="1"/>
  <c r="W443" i="1" s="1"/>
  <c r="Y443" i="1"/>
  <c r="V442" i="1"/>
  <c r="W442" i="1" s="1"/>
  <c r="D442" i="2" s="1"/>
  <c r="Y442" i="1"/>
  <c r="Y441" i="1"/>
  <c r="Y440" i="1"/>
  <c r="D440" i="2" s="1"/>
  <c r="V427" i="1"/>
  <c r="W427" i="1" s="1"/>
  <c r="V426" i="1"/>
  <c r="W426" i="1" s="1"/>
  <c r="V410" i="1"/>
  <c r="W410" i="1" s="1"/>
  <c r="Y410" i="1"/>
  <c r="V400" i="1"/>
  <c r="W400" i="1" s="1"/>
  <c r="D400" i="2" s="1"/>
  <c r="Y400" i="1"/>
  <c r="V399" i="1"/>
  <c r="W399" i="1" s="1"/>
  <c r="D399" i="2" s="1"/>
  <c r="Y398" i="1"/>
  <c r="V370" i="1"/>
  <c r="W370" i="1" s="1"/>
  <c r="D370" i="2" s="1"/>
  <c r="Y335" i="1"/>
  <c r="D335" i="2" s="1"/>
  <c r="Y328" i="1"/>
  <c r="D328" i="2" s="1"/>
  <c r="Y324" i="1"/>
  <c r="D324" i="2" s="1"/>
  <c r="Y637" i="1"/>
  <c r="D637" i="2" s="1"/>
  <c r="Y634" i="1"/>
  <c r="Y631" i="1"/>
  <c r="D631" i="2" s="1"/>
  <c r="Y612" i="1"/>
  <c r="D612" i="2" s="1"/>
  <c r="Y586" i="1"/>
  <c r="V579" i="1"/>
  <c r="W579" i="1" s="1"/>
  <c r="D579" i="2" s="1"/>
  <c r="Y538" i="1"/>
  <c r="V514" i="1"/>
  <c r="W514" i="1" s="1"/>
  <c r="D514" i="2" s="1"/>
  <c r="Y488" i="1"/>
  <c r="Y426" i="1"/>
  <c r="V398" i="1"/>
  <c r="W398" i="1" s="1"/>
  <c r="Y340" i="1"/>
  <c r="V594" i="1"/>
  <c r="W594" i="1" s="1"/>
  <c r="D594" i="2" s="1"/>
  <c r="Y346" i="1"/>
  <c r="V346" i="1"/>
  <c r="W346" i="1" s="1"/>
  <c r="V345" i="1"/>
  <c r="W345" i="1" s="1"/>
  <c r="Y345" i="1"/>
  <c r="D345" i="2" s="1"/>
  <c r="V344" i="1"/>
  <c r="W344" i="1" s="1"/>
  <c r="Y344" i="1"/>
  <c r="V343" i="1"/>
  <c r="W343" i="1" s="1"/>
  <c r="Y343" i="1"/>
  <c r="V591" i="1"/>
  <c r="W591" i="1" s="1"/>
  <c r="D591" i="2" s="1"/>
  <c r="V583" i="1"/>
  <c r="W583" i="1" s="1"/>
  <c r="Y583" i="1"/>
  <c r="V575" i="1"/>
  <c r="W575" i="1" s="1"/>
  <c r="D575" i="2" s="1"/>
  <c r="Y575" i="1"/>
  <c r="Y565" i="1"/>
  <c r="Y554" i="1"/>
  <c r="D554" i="2" s="1"/>
  <c r="Y546" i="1"/>
  <c r="V546" i="1"/>
  <c r="W546" i="1" s="1"/>
  <c r="Y533" i="1"/>
  <c r="V533" i="1"/>
  <c r="W533" i="1" s="1"/>
  <c r="D533" i="2" s="1"/>
  <c r="Y521" i="1"/>
  <c r="V521" i="1"/>
  <c r="W521" i="1" s="1"/>
  <c r="V507" i="1"/>
  <c r="W507" i="1" s="1"/>
  <c r="V497" i="1"/>
  <c r="W497" i="1" s="1"/>
  <c r="Y497" i="1"/>
  <c r="V486" i="1"/>
  <c r="W486" i="1" s="1"/>
  <c r="D486" i="2" s="1"/>
  <c r="Y486" i="1"/>
  <c r="V484" i="1"/>
  <c r="W484" i="1" s="1"/>
  <c r="Y484" i="1"/>
  <c r="V474" i="1"/>
  <c r="W474" i="1" s="1"/>
  <c r="Y474" i="1"/>
  <c r="V465" i="1"/>
  <c r="W465" i="1" s="1"/>
  <c r="Y465" i="1"/>
  <c r="V464" i="1"/>
  <c r="W464" i="1" s="1"/>
  <c r="D464" i="2" s="1"/>
  <c r="Y464" i="1"/>
  <c r="Y463" i="1"/>
  <c r="V463" i="1"/>
  <c r="W463" i="1" s="1"/>
  <c r="D463" i="2" s="1"/>
  <c r="V454" i="1"/>
  <c r="W454" i="1" s="1"/>
  <c r="D454" i="2" s="1"/>
  <c r="Y439" i="1"/>
  <c r="V439" i="1"/>
  <c r="W439" i="1" s="1"/>
  <c r="V425" i="1"/>
  <c r="W425" i="1" s="1"/>
  <c r="Y425" i="1"/>
  <c r="V409" i="1"/>
  <c r="W409" i="1" s="1"/>
  <c r="Y409" i="1"/>
  <c r="Y397" i="1"/>
  <c r="V397" i="1"/>
  <c r="W397" i="1" s="1"/>
  <c r="V369" i="1"/>
  <c r="W369" i="1" s="1"/>
  <c r="D369" i="2" s="1"/>
  <c r="V368" i="1"/>
  <c r="W368" i="1" s="1"/>
  <c r="Y368" i="1"/>
  <c r="V367" i="1"/>
  <c r="W367" i="1" s="1"/>
  <c r="D367" i="2" s="1"/>
  <c r="Y367" i="1"/>
  <c r="Y331" i="1"/>
  <c r="D331" i="2" s="1"/>
  <c r="Y320" i="1"/>
  <c r="D320" i="2" s="1"/>
  <c r="Y316" i="1"/>
  <c r="D316" i="2" s="1"/>
  <c r="Y627" i="1"/>
  <c r="D627" i="2" s="1"/>
  <c r="Y621" i="1"/>
  <c r="D621" i="2" s="1"/>
  <c r="Y618" i="1"/>
  <c r="D618" i="2" s="1"/>
  <c r="Y609" i="1"/>
  <c r="D609" i="2" s="1"/>
  <c r="Y606" i="1"/>
  <c r="D606" i="2" s="1"/>
  <c r="V601" i="1"/>
  <c r="W601" i="1" s="1"/>
  <c r="D601" i="2" s="1"/>
  <c r="Y585" i="1"/>
  <c r="Y577" i="1"/>
  <c r="V570" i="1"/>
  <c r="W570" i="1" s="1"/>
  <c r="V548" i="1"/>
  <c r="W548" i="1" s="1"/>
  <c r="D548" i="2" s="1"/>
  <c r="V536" i="1"/>
  <c r="W536" i="1" s="1"/>
  <c r="D536" i="2" s="1"/>
  <c r="V511" i="1"/>
  <c r="W511" i="1" s="1"/>
  <c r="Y498" i="1"/>
  <c r="Y485" i="1"/>
  <c r="D485" i="2" s="1"/>
  <c r="V448" i="1"/>
  <c r="W448" i="1" s="1"/>
  <c r="D448" i="2" s="1"/>
  <c r="Y420" i="1"/>
  <c r="V393" i="1"/>
  <c r="W393" i="1" s="1"/>
  <c r="D393" i="2" s="1"/>
  <c r="V578" i="1"/>
  <c r="W578" i="1" s="1"/>
  <c r="Y578" i="1"/>
  <c r="Y342" i="1"/>
  <c r="D342" i="2" s="1"/>
  <c r="V341" i="1"/>
  <c r="W341" i="1" s="1"/>
  <c r="Y341" i="1"/>
  <c r="V598" i="1"/>
  <c r="W598" i="1" s="1"/>
  <c r="D598" i="2" s="1"/>
  <c r="Y598" i="1"/>
  <c r="V590" i="1"/>
  <c r="W590" i="1" s="1"/>
  <c r="Y590" i="1"/>
  <c r="V574" i="1"/>
  <c r="W574" i="1" s="1"/>
  <c r="Y564" i="1"/>
  <c r="D564" i="2" s="1"/>
  <c r="V553" i="1"/>
  <c r="W553" i="1" s="1"/>
  <c r="Y553" i="1"/>
  <c r="Y545" i="1"/>
  <c r="D545" i="2" s="1"/>
  <c r="Y532" i="1"/>
  <c r="D532" i="2" s="1"/>
  <c r="V520" i="1"/>
  <c r="W520" i="1" s="1"/>
  <c r="V506" i="1"/>
  <c r="W506" i="1" s="1"/>
  <c r="Y506" i="1"/>
  <c r="Y496" i="1"/>
  <c r="Y483" i="1"/>
  <c r="V483" i="1"/>
  <c r="W483" i="1" s="1"/>
  <c r="D483" i="2" s="1"/>
  <c r="V473" i="1"/>
  <c r="W473" i="1" s="1"/>
  <c r="D473" i="2" s="1"/>
  <c r="Y473" i="1"/>
  <c r="Y462" i="1"/>
  <c r="V462" i="1"/>
  <c r="W462" i="1" s="1"/>
  <c r="Y461" i="1"/>
  <c r="V461" i="1"/>
  <c r="W461" i="1" s="1"/>
  <c r="Y453" i="1"/>
  <c r="D453" i="2" s="1"/>
  <c r="Y438" i="1"/>
  <c r="V438" i="1"/>
  <c r="W438" i="1" s="1"/>
  <c r="D438" i="2" s="1"/>
  <c r="V437" i="1"/>
  <c r="W437" i="1" s="1"/>
  <c r="Y437" i="1"/>
  <c r="V424" i="1"/>
  <c r="W424" i="1" s="1"/>
  <c r="Y424" i="1"/>
  <c r="V408" i="1"/>
  <c r="W408" i="1" s="1"/>
  <c r="D408" i="2" s="1"/>
  <c r="Y408" i="1"/>
  <c r="Y396" i="1"/>
  <c r="V396" i="1"/>
  <c r="W396" i="1" s="1"/>
  <c r="D396" i="2" s="1"/>
  <c r="V366" i="1"/>
  <c r="W366" i="1" s="1"/>
  <c r="Y366" i="1"/>
  <c r="V365" i="1"/>
  <c r="W365" i="1" s="1"/>
  <c r="Y365" i="1"/>
  <c r="V364" i="1"/>
  <c r="W364" i="1" s="1"/>
  <c r="D364" i="2" s="1"/>
  <c r="Y364" i="1"/>
  <c r="Y334" i="1"/>
  <c r="D334" i="2" s="1"/>
  <c r="Y327" i="1"/>
  <c r="D327" i="2" s="1"/>
  <c r="Y313" i="1"/>
  <c r="D313" i="2" s="1"/>
  <c r="Y630" i="1"/>
  <c r="D630" i="2" s="1"/>
  <c r="Y615" i="1"/>
  <c r="D615" i="2" s="1"/>
  <c r="Y600" i="1"/>
  <c r="V593" i="1"/>
  <c r="W593" i="1" s="1"/>
  <c r="D593" i="2" s="1"/>
  <c r="Y576" i="1"/>
  <c r="Y568" i="1"/>
  <c r="V561" i="1"/>
  <c r="W561" i="1" s="1"/>
  <c r="D561" i="2" s="1"/>
  <c r="Y547" i="1"/>
  <c r="Y535" i="1"/>
  <c r="V523" i="1"/>
  <c r="W523" i="1" s="1"/>
  <c r="D523" i="2" s="1"/>
  <c r="Y510" i="1"/>
  <c r="Y446" i="1"/>
  <c r="V419" i="1"/>
  <c r="W419" i="1" s="1"/>
  <c r="D419" i="2" s="1"/>
  <c r="V392" i="1"/>
  <c r="W392" i="1" s="1"/>
  <c r="D392" i="2" s="1"/>
  <c r="V589" i="1"/>
  <c r="W589" i="1" s="1"/>
  <c r="D589" i="2" s="1"/>
  <c r="V581" i="1"/>
  <c r="W581" i="1" s="1"/>
  <c r="Y581" i="1"/>
  <c r="Y573" i="1"/>
  <c r="V563" i="1"/>
  <c r="W563" i="1" s="1"/>
  <c r="D563" i="2" s="1"/>
  <c r="Y552" i="1"/>
  <c r="V552" i="1"/>
  <c r="W552" i="1" s="1"/>
  <c r="V544" i="1"/>
  <c r="W544" i="1" s="1"/>
  <c r="Y544" i="1"/>
  <c r="V531" i="1"/>
  <c r="W531" i="1" s="1"/>
  <c r="Y531" i="1"/>
  <c r="V519" i="1"/>
  <c r="W519" i="1" s="1"/>
  <c r="Y519" i="1"/>
  <c r="Y518" i="1"/>
  <c r="V518" i="1"/>
  <c r="W518" i="1" s="1"/>
  <c r="Y517" i="1"/>
  <c r="D517" i="2" s="1"/>
  <c r="Y505" i="1"/>
  <c r="D505" i="2" s="1"/>
  <c r="V504" i="1"/>
  <c r="W504" i="1" s="1"/>
  <c r="D504" i="2" s="1"/>
  <c r="V495" i="1"/>
  <c r="W495" i="1" s="1"/>
  <c r="D495" i="2" s="1"/>
  <c r="V494" i="1"/>
  <c r="W494" i="1" s="1"/>
  <c r="Y494" i="1"/>
  <c r="Y493" i="1"/>
  <c r="D493" i="2" s="1"/>
  <c r="V493" i="1"/>
  <c r="W493" i="1" s="1"/>
  <c r="Y492" i="1"/>
  <c r="D492" i="2" s="1"/>
  <c r="Y482" i="1"/>
  <c r="D482" i="2" s="1"/>
  <c r="V481" i="1"/>
  <c r="W481" i="1" s="1"/>
  <c r="Y481" i="1"/>
  <c r="V472" i="1"/>
  <c r="W472" i="1" s="1"/>
  <c r="V460" i="1"/>
  <c r="W460" i="1" s="1"/>
  <c r="D460" i="2" s="1"/>
  <c r="V452" i="1"/>
  <c r="W452" i="1" s="1"/>
  <c r="D452" i="2" s="1"/>
  <c r="Y452" i="1"/>
  <c r="V436" i="1"/>
  <c r="W436" i="1" s="1"/>
  <c r="Y436" i="1"/>
  <c r="Y423" i="1"/>
  <c r="V423" i="1"/>
  <c r="W423" i="1" s="1"/>
  <c r="V407" i="1"/>
  <c r="W407" i="1" s="1"/>
  <c r="Y407" i="1"/>
  <c r="Y395" i="1"/>
  <c r="V395" i="1"/>
  <c r="W395" i="1" s="1"/>
  <c r="V363" i="1"/>
  <c r="W363" i="1" s="1"/>
  <c r="Y363" i="1"/>
  <c r="V592" i="1"/>
  <c r="W592" i="1" s="1"/>
  <c r="D592" i="2" s="1"/>
  <c r="V584" i="1"/>
  <c r="W584" i="1" s="1"/>
  <c r="D584" i="2" s="1"/>
  <c r="Y520" i="1"/>
  <c r="Y507" i="1"/>
  <c r="V496" i="1"/>
  <c r="W496" i="1" s="1"/>
  <c r="D496" i="2" s="1"/>
  <c r="Y467" i="1"/>
  <c r="V441" i="1"/>
  <c r="W441" i="1" s="1"/>
  <c r="D441" i="2" s="1"/>
  <c r="V413" i="1"/>
  <c r="W413" i="1" s="1"/>
  <c r="V386" i="1"/>
  <c r="W386" i="1" s="1"/>
  <c r="D386" i="2" s="1"/>
  <c r="V356" i="1"/>
  <c r="W356" i="1" s="1"/>
  <c r="D356" i="2" s="1"/>
  <c r="AG36" i="1"/>
  <c r="AP36" i="1" s="1"/>
  <c r="D373" i="2" l="1"/>
  <c r="D403" i="2"/>
  <c r="D540" i="2"/>
  <c r="D423" i="2"/>
  <c r="D338" i="2"/>
  <c r="D326" i="2"/>
  <c r="D318" i="2"/>
  <c r="D489" i="2"/>
  <c r="D538" i="2"/>
  <c r="D628" i="2"/>
  <c r="D377" i="2"/>
  <c r="D382" i="2"/>
  <c r="D500" i="2"/>
  <c r="D406" i="2"/>
  <c r="D470" i="2"/>
  <c r="D512" i="2"/>
  <c r="D528" i="2"/>
  <c r="D319" i="2"/>
  <c r="D360" i="2"/>
  <c r="D461" i="2"/>
  <c r="D511" i="2"/>
  <c r="D546" i="2"/>
  <c r="D426" i="2"/>
  <c r="D557" i="2"/>
  <c r="D574" i="2"/>
  <c r="D586" i="2"/>
  <c r="D427" i="2"/>
  <c r="D567" i="2"/>
  <c r="D361" i="2"/>
  <c r="D472" i="2"/>
  <c r="D573" i="2"/>
  <c r="D329" i="2"/>
  <c r="D389" i="2"/>
  <c r="D469" i="2"/>
  <c r="D537" i="2"/>
  <c r="D635" i="2"/>
  <c r="D582" i="2"/>
  <c r="D330" i="2"/>
  <c r="D590" i="2"/>
  <c r="D570" i="2"/>
  <c r="D565" i="2"/>
  <c r="D398" i="2"/>
  <c r="D522" i="2"/>
  <c r="D556" i="2"/>
  <c r="D317" i="2"/>
  <c r="D371" i="2"/>
  <c r="D414" i="2"/>
  <c r="D431" i="2"/>
  <c r="D468" i="2"/>
  <c r="D332" i="2"/>
  <c r="D374" i="2"/>
  <c r="D333" i="2"/>
  <c r="D634" i="2"/>
  <c r="D610" i="2"/>
  <c r="D363" i="2"/>
  <c r="D436" i="2"/>
  <c r="D544" i="2"/>
  <c r="D484" i="2"/>
  <c r="D487" i="2"/>
  <c r="D534" i="2"/>
  <c r="D576" i="2"/>
  <c r="D353" i="2"/>
  <c r="D488" i="2"/>
  <c r="D525" i="2"/>
  <c r="D577" i="2"/>
  <c r="D351" i="2"/>
  <c r="D381" i="2"/>
  <c r="D418" i="2"/>
  <c r="D447" i="2"/>
  <c r="D490" i="2"/>
  <c r="D513" i="2"/>
  <c r="D435" i="2"/>
  <c r="D596" i="2"/>
  <c r="D395" i="2"/>
  <c r="D518" i="2"/>
  <c r="D552" i="2"/>
  <c r="D553" i="2"/>
  <c r="D341" i="2"/>
  <c r="D409" i="2"/>
  <c r="D583" i="2"/>
  <c r="D346" i="2"/>
  <c r="D410" i="2"/>
  <c r="D443" i="2"/>
  <c r="D498" i="2"/>
  <c r="D547" i="2"/>
  <c r="D429" i="2"/>
  <c r="D444" i="2"/>
  <c r="D499" i="2"/>
  <c r="D535" i="2"/>
  <c r="D585" i="2"/>
  <c r="D372" i="2"/>
  <c r="D387" i="2"/>
  <c r="D445" i="2"/>
  <c r="D549" i="2"/>
  <c r="D362" i="2"/>
  <c r="D449" i="2"/>
  <c r="D471" i="2"/>
  <c r="D516" i="2"/>
  <c r="D562" i="2"/>
  <c r="D455" i="2"/>
  <c r="D508" i="2"/>
  <c r="D555" i="2"/>
  <c r="D430" i="2"/>
  <c r="D456" i="2"/>
  <c r="D388" i="2"/>
  <c r="D420" i="2"/>
  <c r="D458" i="2"/>
  <c r="D595" i="2"/>
  <c r="D480" i="2"/>
  <c r="D529" i="2"/>
  <c r="D425" i="2"/>
  <c r="D600" i="2"/>
  <c r="D413" i="2"/>
  <c r="D510" i="2"/>
  <c r="D572" i="2"/>
  <c r="D407" i="2"/>
  <c r="D494" i="2"/>
  <c r="D519" i="2"/>
  <c r="D365" i="2"/>
  <c r="D424" i="2"/>
  <c r="D462" i="2"/>
  <c r="D506" i="2"/>
  <c r="D578" i="2"/>
  <c r="D368" i="2"/>
  <c r="D439" i="2"/>
  <c r="D465" i="2"/>
  <c r="D497" i="2"/>
  <c r="D343" i="2"/>
  <c r="D347" i="2"/>
  <c r="D509" i="2"/>
  <c r="D558" i="2"/>
  <c r="D559" i="2"/>
  <c r="D379" i="2"/>
  <c r="D383" i="2"/>
  <c r="D402" i="2"/>
  <c r="D358" i="2"/>
  <c r="D416" i="2"/>
  <c r="D340" i="2"/>
  <c r="D491" i="2"/>
  <c r="D337" i="2"/>
  <c r="D520" i="2"/>
  <c r="D507" i="2"/>
  <c r="D467" i="2"/>
  <c r="D568" i="2"/>
  <c r="D434" i="2"/>
  <c r="D571" i="2"/>
  <c r="D422" i="2"/>
  <c r="D541" i="2"/>
  <c r="D481" i="2"/>
  <c r="D531" i="2"/>
  <c r="D581" i="2"/>
  <c r="D366" i="2"/>
  <c r="D437" i="2"/>
  <c r="D397" i="2"/>
  <c r="D474" i="2"/>
  <c r="D521" i="2"/>
  <c r="D344" i="2"/>
  <c r="D428" i="2"/>
  <c r="D476" i="2"/>
  <c r="D524" i="2"/>
  <c r="D350" i="2"/>
  <c r="D380" i="2"/>
  <c r="D390" i="2"/>
  <c r="D415" i="2"/>
  <c r="D417" i="2"/>
  <c r="D446" i="2"/>
  <c r="D478" i="2"/>
  <c r="D433" i="2"/>
  <c r="D459" i="2"/>
  <c r="H312" i="1"/>
  <c r="H313" i="1"/>
  <c r="Y5" i="1" l="1"/>
  <c r="Y212" i="1" l="1"/>
  <c r="AK33" i="1" l="1"/>
  <c r="AK34" i="1" s="1"/>
  <c r="AK35" i="1"/>
  <c r="AK37" i="1" s="1"/>
  <c r="AK38" i="1" s="1"/>
  <c r="AJ33" i="1"/>
  <c r="AJ34" i="1" s="1"/>
  <c r="AJ35" i="1"/>
  <c r="AJ37" i="1" s="1"/>
  <c r="AJ38" i="1" s="1"/>
  <c r="AH33" i="1"/>
  <c r="AH34" i="1" s="1"/>
  <c r="AH35" i="1"/>
  <c r="AH37" i="1" s="1"/>
  <c r="AH38" i="1" s="1"/>
  <c r="AI33" i="1"/>
  <c r="AI34" i="1" s="1"/>
  <c r="AG35" i="1"/>
  <c r="AG33" i="1"/>
  <c r="AG24" i="1"/>
  <c r="AO33" i="1"/>
  <c r="AO34" i="1" s="1"/>
  <c r="AL33" i="1"/>
  <c r="AL34" i="1" s="1"/>
  <c r="AL35" i="1"/>
  <c r="AL37" i="1" s="1"/>
  <c r="AL38" i="1" s="1"/>
  <c r="AN33" i="1"/>
  <c r="AN34" i="1" s="1"/>
  <c r="AM33" i="1"/>
  <c r="AM34" i="1" s="1"/>
  <c r="AM35" i="1"/>
  <c r="AM37" i="1" s="1"/>
  <c r="AM38" i="1" s="1"/>
  <c r="Y208" i="1"/>
  <c r="Y200" i="1"/>
  <c r="Y234" i="1"/>
  <c r="Y233" i="1"/>
  <c r="Y232" i="1"/>
  <c r="Y231" i="1"/>
  <c r="Y230" i="1"/>
  <c r="Y229" i="1"/>
  <c r="Y228" i="1"/>
  <c r="V226" i="1"/>
  <c r="W226" i="1" s="1"/>
  <c r="V225" i="1"/>
  <c r="W225" i="1" s="1"/>
  <c r="V224" i="1"/>
  <c r="W224" i="1" s="1"/>
  <c r="V223" i="1"/>
  <c r="W223" i="1" s="1"/>
  <c r="Y222" i="1"/>
  <c r="Y221" i="1"/>
  <c r="V220" i="1"/>
  <c r="W220" i="1" s="1"/>
  <c r="D220" i="2" s="1"/>
  <c r="V218" i="1"/>
  <c r="W218" i="1" s="1"/>
  <c r="V217" i="1"/>
  <c r="W217" i="1" s="1"/>
  <c r="V216" i="1"/>
  <c r="W216" i="1" s="1"/>
  <c r="Y215" i="1"/>
  <c r="V212" i="1"/>
  <c r="W212" i="1" s="1"/>
  <c r="D212" i="2" s="1"/>
  <c r="Y267" i="1"/>
  <c r="Y251" i="1"/>
  <c r="V243" i="1"/>
  <c r="W243" i="1" s="1"/>
  <c r="D243" i="2" s="1"/>
  <c r="V295" i="1"/>
  <c r="W295" i="1" s="1"/>
  <c r="D295" i="2" s="1"/>
  <c r="V287" i="1"/>
  <c r="W287" i="1" s="1"/>
  <c r="V279" i="1"/>
  <c r="W279" i="1" s="1"/>
  <c r="V303" i="1"/>
  <c r="W303" i="1" s="1"/>
  <c r="D303" i="2" s="1"/>
  <c r="Y271" i="1"/>
  <c r="V266" i="1"/>
  <c r="W266" i="1" s="1"/>
  <c r="V264" i="1"/>
  <c r="W264" i="1" s="1"/>
  <c r="Y263" i="1"/>
  <c r="Y258" i="1"/>
  <c r="Y255" i="1"/>
  <c r="V251" i="1"/>
  <c r="W251" i="1" s="1"/>
  <c r="Y250" i="1"/>
  <c r="Y247" i="1"/>
  <c r="V245" i="1"/>
  <c r="W245" i="1" s="1"/>
  <c r="Y242" i="1"/>
  <c r="Y239" i="1"/>
  <c r="V310" i="1"/>
  <c r="W310" i="1" s="1"/>
  <c r="V309" i="1"/>
  <c r="W309" i="1" s="1"/>
  <c r="Y303" i="1"/>
  <c r="Y302" i="1"/>
  <c r="Y301" i="1"/>
  <c r="V296" i="1"/>
  <c r="W296" i="1" s="1"/>
  <c r="Y295" i="1"/>
  <c r="V294" i="1"/>
  <c r="W294" i="1" s="1"/>
  <c r="V293" i="1"/>
  <c r="W293" i="1" s="1"/>
  <c r="V290" i="1"/>
  <c r="W290" i="1" s="1"/>
  <c r="Y287" i="1"/>
  <c r="V286" i="1"/>
  <c r="W286" i="1" s="1"/>
  <c r="Y285" i="1"/>
  <c r="V283" i="1"/>
  <c r="W283" i="1" s="1"/>
  <c r="D283" i="2" s="1"/>
  <c r="Y279" i="1"/>
  <c r="V278" i="1"/>
  <c r="W278" i="1" s="1"/>
  <c r="D278" i="2" s="1"/>
  <c r="V277" i="1"/>
  <c r="W277" i="1" s="1"/>
  <c r="Y227" i="1"/>
  <c r="V219" i="1"/>
  <c r="W219" i="1" s="1"/>
  <c r="Y214" i="1"/>
  <c r="Y213" i="1"/>
  <c r="V265" i="1"/>
  <c r="W265" i="1" s="1"/>
  <c r="D265" i="2" s="1"/>
  <c r="Y257" i="1"/>
  <c r="Y249" i="1"/>
  <c r="Y241" i="1"/>
  <c r="V285" i="1"/>
  <c r="W285" i="1" s="1"/>
  <c r="Y283" i="1"/>
  <c r="V259" i="1"/>
  <c r="W259" i="1" s="1"/>
  <c r="Y248" i="1"/>
  <c r="Y308" i="1"/>
  <c r="Y300" i="1"/>
  <c r="Y291" i="1"/>
  <c r="Y275" i="1"/>
  <c r="V271" i="1"/>
  <c r="W271" i="1" s="1"/>
  <c r="V263" i="1"/>
  <c r="W263" i="1" s="1"/>
  <c r="V255" i="1"/>
  <c r="W255" i="1" s="1"/>
  <c r="D255" i="2" s="1"/>
  <c r="V247" i="1"/>
  <c r="W247" i="1" s="1"/>
  <c r="D247" i="2" s="1"/>
  <c r="V239" i="1"/>
  <c r="W239" i="1" s="1"/>
  <c r="V291" i="1"/>
  <c r="W291" i="1" s="1"/>
  <c r="Y264" i="1"/>
  <c r="Y307" i="1"/>
  <c r="V292" i="1"/>
  <c r="W292" i="1" s="1"/>
  <c r="V284" i="1"/>
  <c r="W284" i="1" s="1"/>
  <c r="Y276" i="1"/>
  <c r="Y270" i="1"/>
  <c r="V254" i="1"/>
  <c r="W254" i="1" s="1"/>
  <c r="V246" i="1"/>
  <c r="W246" i="1" s="1"/>
  <c r="Y238" i="1"/>
  <c r="Y290" i="1"/>
  <c r="V288" i="1"/>
  <c r="W288" i="1" s="1"/>
  <c r="Y282" i="1"/>
  <c r="V280" i="1"/>
  <c r="W280" i="1" s="1"/>
  <c r="Y274" i="1"/>
  <c r="Y272" i="1"/>
  <c r="Y256" i="1"/>
  <c r="Y299" i="1"/>
  <c r="Y269" i="1"/>
  <c r="V261" i="1"/>
  <c r="W261" i="1" s="1"/>
  <c r="V253" i="1"/>
  <c r="W253" i="1" s="1"/>
  <c r="Y305" i="1"/>
  <c r="V297" i="1"/>
  <c r="W297" i="1" s="1"/>
  <c r="Y289" i="1"/>
  <c r="Y281" i="1"/>
  <c r="Y273" i="1"/>
  <c r="Y240" i="1"/>
  <c r="V262" i="1"/>
  <c r="W262" i="1" s="1"/>
  <c r="Y237" i="1"/>
  <c r="V235" i="1"/>
  <c r="W235" i="1" s="1"/>
  <c r="Y306" i="1"/>
  <c r="V298" i="1"/>
  <c r="W298" i="1" s="1"/>
  <c r="D298" i="2" s="1"/>
  <c r="Y245" i="1"/>
  <c r="Y268" i="1"/>
  <c r="V260" i="1"/>
  <c r="W260" i="1" s="1"/>
  <c r="V252" i="1"/>
  <c r="W252" i="1" s="1"/>
  <c r="Y244" i="1"/>
  <c r="Y243" i="1"/>
  <c r="Y236" i="1"/>
  <c r="Y235" i="1"/>
  <c r="Y304" i="1"/>
  <c r="Y296" i="1"/>
  <c r="Y288" i="1"/>
  <c r="Y280" i="1"/>
  <c r="V200" i="1"/>
  <c r="W200" i="1" s="1"/>
  <c r="V308" i="1"/>
  <c r="W308" i="1" s="1"/>
  <c r="V302" i="1"/>
  <c r="W302" i="1" s="1"/>
  <c r="D302" i="2" s="1"/>
  <c r="V289" i="1"/>
  <c r="W289" i="1" s="1"/>
  <c r="D289" i="2" s="1"/>
  <c r="V276" i="1"/>
  <c r="W276" i="1" s="1"/>
  <c r="V270" i="1"/>
  <c r="W270" i="1" s="1"/>
  <c r="V257" i="1"/>
  <c r="W257" i="1" s="1"/>
  <c r="D257" i="2" s="1"/>
  <c r="V244" i="1"/>
  <c r="W244" i="1" s="1"/>
  <c r="V238" i="1"/>
  <c r="W238" i="1" s="1"/>
  <c r="Y310" i="1"/>
  <c r="Y294" i="1"/>
  <c r="Y286" i="1"/>
  <c r="Y278" i="1"/>
  <c r="Y262" i="1"/>
  <c r="Y254" i="1"/>
  <c r="Y246" i="1"/>
  <c r="Y211" i="1"/>
  <c r="Y210" i="1"/>
  <c r="Y209" i="1"/>
  <c r="V208" i="1"/>
  <c r="W208" i="1" s="1"/>
  <c r="D208" i="2" s="1"/>
  <c r="V207" i="1"/>
  <c r="W207" i="1" s="1"/>
  <c r="Y206" i="1"/>
  <c r="Y205" i="1"/>
  <c r="Y204" i="1"/>
  <c r="Y203" i="1"/>
  <c r="Y202" i="1"/>
  <c r="Y201" i="1"/>
  <c r="Y199" i="1"/>
  <c r="V307" i="1"/>
  <c r="W307" i="1" s="1"/>
  <c r="V301" i="1"/>
  <c r="W301" i="1" s="1"/>
  <c r="V282" i="1"/>
  <c r="W282" i="1" s="1"/>
  <c r="D282" i="2" s="1"/>
  <c r="V275" i="1"/>
  <c r="W275" i="1" s="1"/>
  <c r="V269" i="1"/>
  <c r="W269" i="1" s="1"/>
  <c r="V256" i="1"/>
  <c r="W256" i="1" s="1"/>
  <c r="D256" i="2" s="1"/>
  <c r="V250" i="1"/>
  <c r="W250" i="1" s="1"/>
  <c r="D250" i="2" s="1"/>
  <c r="V237" i="1"/>
  <c r="W237" i="1" s="1"/>
  <c r="D237" i="2" s="1"/>
  <c r="Y309" i="1"/>
  <c r="Y293" i="1"/>
  <c r="Y277" i="1"/>
  <c r="Y261" i="1"/>
  <c r="Y253" i="1"/>
  <c r="AB70" i="1"/>
  <c r="V258" i="1"/>
  <c r="W258" i="1" s="1"/>
  <c r="D258" i="2" s="1"/>
  <c r="V300" i="1"/>
  <c r="W300" i="1" s="1"/>
  <c r="D300" i="2" s="1"/>
  <c r="V281" i="1"/>
  <c r="W281" i="1" s="1"/>
  <c r="D281" i="2" s="1"/>
  <c r="V268" i="1"/>
  <c r="W268" i="1" s="1"/>
  <c r="D268" i="2" s="1"/>
  <c r="V249" i="1"/>
  <c r="W249" i="1" s="1"/>
  <c r="V236" i="1"/>
  <c r="W236" i="1" s="1"/>
  <c r="Y292" i="1"/>
  <c r="Y284" i="1"/>
  <c r="Y260" i="1"/>
  <c r="Y252" i="1"/>
  <c r="V306" i="1"/>
  <c r="W306" i="1" s="1"/>
  <c r="V299" i="1"/>
  <c r="W299" i="1" s="1"/>
  <c r="D299" i="2" s="1"/>
  <c r="V274" i="1"/>
  <c r="W274" i="1" s="1"/>
  <c r="V267" i="1"/>
  <c r="W267" i="1" s="1"/>
  <c r="V248" i="1"/>
  <c r="W248" i="1" s="1"/>
  <c r="V242" i="1"/>
  <c r="W242" i="1" s="1"/>
  <c r="D242" i="2" s="1"/>
  <c r="Y259" i="1"/>
  <c r="V305" i="1"/>
  <c r="W305" i="1" s="1"/>
  <c r="D305" i="2" s="1"/>
  <c r="V273" i="1"/>
  <c r="W273" i="1" s="1"/>
  <c r="V241" i="1"/>
  <c r="W241" i="1" s="1"/>
  <c r="D241" i="2" s="1"/>
  <c r="V228" i="1"/>
  <c r="W228" i="1" s="1"/>
  <c r="D228" i="2" s="1"/>
  <c r="Y298" i="1"/>
  <c r="Y266" i="1"/>
  <c r="AB71" i="1"/>
  <c r="V304" i="1"/>
  <c r="W304" i="1" s="1"/>
  <c r="D304" i="2" s="1"/>
  <c r="V272" i="1"/>
  <c r="W272" i="1" s="1"/>
  <c r="D272" i="2" s="1"/>
  <c r="V240" i="1"/>
  <c r="W240" i="1" s="1"/>
  <c r="V222" i="1"/>
  <c r="W222" i="1" s="1"/>
  <c r="D222" i="2" s="1"/>
  <c r="Y297" i="1"/>
  <c r="Y265" i="1"/>
  <c r="Y220" i="1"/>
  <c r="V215" i="1"/>
  <c r="W215" i="1" s="1"/>
  <c r="D215" i="2" s="1"/>
  <c r="V234" i="1"/>
  <c r="W234" i="1" s="1"/>
  <c r="D234" i="2" s="1"/>
  <c r="V227" i="1"/>
  <c r="W227" i="1" s="1"/>
  <c r="D227" i="2" s="1"/>
  <c r="V221" i="1"/>
  <c r="W221" i="1" s="1"/>
  <c r="D221" i="2" s="1"/>
  <c r="Y219" i="1"/>
  <c r="V233" i="1"/>
  <c r="W233" i="1" s="1"/>
  <c r="V214" i="1"/>
  <c r="W214" i="1" s="1"/>
  <c r="Y226" i="1"/>
  <c r="Y218" i="1"/>
  <c r="V232" i="1"/>
  <c r="W232" i="1" s="1"/>
  <c r="D232" i="2" s="1"/>
  <c r="V213" i="1"/>
  <c r="W213" i="1" s="1"/>
  <c r="Y225" i="1"/>
  <c r="Y217" i="1"/>
  <c r="V231" i="1"/>
  <c r="W231" i="1" s="1"/>
  <c r="Y224" i="1"/>
  <c r="Y216" i="1"/>
  <c r="Y223" i="1"/>
  <c r="V230" i="1"/>
  <c r="W230" i="1" s="1"/>
  <c r="D230" i="2" s="1"/>
  <c r="V229" i="1"/>
  <c r="W229" i="1" s="1"/>
  <c r="V206" i="1"/>
  <c r="W206" i="1" s="1"/>
  <c r="V199" i="1"/>
  <c r="W199" i="1" s="1"/>
  <c r="D199" i="2" s="1"/>
  <c r="Y207" i="1"/>
  <c r="V211" i="1"/>
  <c r="W211" i="1" s="1"/>
  <c r="V205" i="1"/>
  <c r="W205" i="1" s="1"/>
  <c r="V204" i="1"/>
  <c r="W204" i="1" s="1"/>
  <c r="D204" i="2" s="1"/>
  <c r="V210" i="1"/>
  <c r="W210" i="1" s="1"/>
  <c r="D210" i="2" s="1"/>
  <c r="V203" i="1"/>
  <c r="W203" i="1" s="1"/>
  <c r="D203" i="2" s="1"/>
  <c r="V209" i="1"/>
  <c r="W209" i="1" s="1"/>
  <c r="V202" i="1"/>
  <c r="W202" i="1" s="1"/>
  <c r="D202" i="2" s="1"/>
  <c r="V201" i="1"/>
  <c r="W201" i="1" s="1"/>
  <c r="D310" i="2" l="1"/>
  <c r="D231" i="2"/>
  <c r="D233" i="2"/>
  <c r="AO35" i="1"/>
  <c r="AO37" i="1" s="1"/>
  <c r="AO38" i="1" s="1"/>
  <c r="D297" i="2"/>
  <c r="D223" i="2"/>
  <c r="AN35" i="1"/>
  <c r="AN37" i="1" s="1"/>
  <c r="AN38" i="1" s="1"/>
  <c r="D308" i="2"/>
  <c r="D235" i="2"/>
  <c r="D280" i="2"/>
  <c r="D286" i="2"/>
  <c r="D224" i="2"/>
  <c r="D200" i="2"/>
  <c r="D251" i="2"/>
  <c r="D249" i="2"/>
  <c r="D246" i="2"/>
  <c r="AI35" i="1"/>
  <c r="AI37" i="1" s="1"/>
  <c r="AI38" i="1" s="1"/>
  <c r="D205" i="2"/>
  <c r="D238" i="2"/>
  <c r="D253" i="2"/>
  <c r="D284" i="2"/>
  <c r="D219" i="2"/>
  <c r="D279" i="2"/>
  <c r="D216" i="2"/>
  <c r="D225" i="2"/>
  <c r="D259" i="2"/>
  <c r="D248" i="2"/>
  <c r="D269" i="2"/>
  <c r="D263" i="2"/>
  <c r="D211" i="2"/>
  <c r="D214" i="2"/>
  <c r="D267" i="2"/>
  <c r="D236" i="2"/>
  <c r="D275" i="2"/>
  <c r="D244" i="2"/>
  <c r="D252" i="2"/>
  <c r="D262" i="2"/>
  <c r="D261" i="2"/>
  <c r="D288" i="2"/>
  <c r="D292" i="2"/>
  <c r="D271" i="2"/>
  <c r="D285" i="2"/>
  <c r="D290" i="2"/>
  <c r="D309" i="2"/>
  <c r="D287" i="2"/>
  <c r="D217" i="2"/>
  <c r="D226" i="2"/>
  <c r="D274" i="2"/>
  <c r="D260" i="2"/>
  <c r="D277" i="2"/>
  <c r="D218" i="2"/>
  <c r="D201" i="2"/>
  <c r="D301" i="2"/>
  <c r="D294" i="2"/>
  <c r="D209" i="2"/>
  <c r="D206" i="2"/>
  <c r="D240" i="2"/>
  <c r="D273" i="2"/>
  <c r="D306" i="2"/>
  <c r="D307" i="2"/>
  <c r="D207" i="2"/>
  <c r="D276" i="2"/>
  <c r="D291" i="2"/>
  <c r="D264" i="2"/>
  <c r="D270" i="2"/>
  <c r="D229" i="2"/>
  <c r="D213" i="2"/>
  <c r="D254" i="2"/>
  <c r="D239" i="2"/>
  <c r="D296" i="2"/>
  <c r="D245" i="2"/>
  <c r="D266" i="2"/>
  <c r="D293" i="2"/>
  <c r="AG34" i="1"/>
  <c r="AG27" i="1" s="1"/>
  <c r="AP33" i="1"/>
  <c r="AG25" i="1"/>
  <c r="AG26" i="1" s="1"/>
  <c r="V149" i="1"/>
  <c r="W149" i="1" s="1"/>
  <c r="V157" i="1"/>
  <c r="W157" i="1" s="1"/>
  <c r="V165" i="1"/>
  <c r="W165" i="1" s="1"/>
  <c r="V173" i="1"/>
  <c r="W173" i="1" s="1"/>
  <c r="V107" i="1"/>
  <c r="W107" i="1" s="1"/>
  <c r="Y38" i="1"/>
  <c r="AG28" i="1" l="1"/>
  <c r="AG29" i="1" s="1"/>
  <c r="AG37" i="1"/>
  <c r="AP35" i="1"/>
  <c r="AP34" i="1"/>
  <c r="Y46" i="1"/>
  <c r="Y141" i="1"/>
  <c r="Y117" i="1"/>
  <c r="Y109" i="1"/>
  <c r="Y94" i="1"/>
  <c r="Y147" i="1"/>
  <c r="Y183" i="1"/>
  <c r="Y78" i="1"/>
  <c r="Y70" i="1"/>
  <c r="Y133" i="1"/>
  <c r="Y125" i="1"/>
  <c r="Y33" i="1"/>
  <c r="Y53" i="1"/>
  <c r="Y45" i="1"/>
  <c r="Y37" i="1"/>
  <c r="Y140" i="1"/>
  <c r="Y132" i="1"/>
  <c r="Y124" i="1"/>
  <c r="Y116" i="1"/>
  <c r="Y108" i="1"/>
  <c r="Y100" i="1"/>
  <c r="Y170" i="1"/>
  <c r="Y162" i="1"/>
  <c r="Y154" i="1"/>
  <c r="Y146" i="1"/>
  <c r="Y190" i="1"/>
  <c r="Y182" i="1"/>
  <c r="Y62" i="1"/>
  <c r="Y85" i="1"/>
  <c r="Y69" i="1"/>
  <c r="Y61" i="1"/>
  <c r="Y92" i="1"/>
  <c r="Y84" i="1"/>
  <c r="Y76" i="1"/>
  <c r="Y68" i="1"/>
  <c r="Y60" i="1"/>
  <c r="Y52" i="1"/>
  <c r="Y44" i="1"/>
  <c r="Y36" i="1"/>
  <c r="Y139" i="1"/>
  <c r="Y131" i="1"/>
  <c r="Y123" i="1"/>
  <c r="Y115" i="1"/>
  <c r="Y107" i="1"/>
  <c r="D107" i="2" s="1"/>
  <c r="Y99" i="1"/>
  <c r="Y169" i="1"/>
  <c r="Y161" i="1"/>
  <c r="Y153" i="1"/>
  <c r="Y197" i="1"/>
  <c r="Y189" i="1"/>
  <c r="Y181" i="1"/>
  <c r="Y101" i="1"/>
  <c r="Y91" i="1"/>
  <c r="Y83" i="1"/>
  <c r="Y75" i="1"/>
  <c r="Y67" i="1"/>
  <c r="Y59" i="1"/>
  <c r="Y51" i="1"/>
  <c r="Y43" i="1"/>
  <c r="Y35" i="1"/>
  <c r="Y138" i="1"/>
  <c r="Y130" i="1"/>
  <c r="Y122" i="1"/>
  <c r="Y114" i="1"/>
  <c r="Y106" i="1"/>
  <c r="Y176" i="1"/>
  <c r="Y168" i="1"/>
  <c r="Y160" i="1"/>
  <c r="Y152" i="1"/>
  <c r="Y196" i="1"/>
  <c r="Y188" i="1"/>
  <c r="Y180" i="1"/>
  <c r="Y54" i="1"/>
  <c r="Y155" i="1"/>
  <c r="Y93" i="1"/>
  <c r="Y98" i="1"/>
  <c r="Y90" i="1"/>
  <c r="Y82" i="1"/>
  <c r="Y74" i="1"/>
  <c r="Y66" i="1"/>
  <c r="Y58" i="1"/>
  <c r="Y50" i="1"/>
  <c r="Y42" i="1"/>
  <c r="Y145" i="1"/>
  <c r="Y137" i="1"/>
  <c r="Y129" i="1"/>
  <c r="Y121" i="1"/>
  <c r="Y113" i="1"/>
  <c r="Y105" i="1"/>
  <c r="Y175" i="1"/>
  <c r="Y167" i="1"/>
  <c r="Y159" i="1"/>
  <c r="Y151" i="1"/>
  <c r="Y195" i="1"/>
  <c r="Y187" i="1"/>
  <c r="Y179" i="1"/>
  <c r="Y3" i="1"/>
  <c r="Y97" i="1"/>
  <c r="Y89" i="1"/>
  <c r="Y81" i="1"/>
  <c r="Y73" i="1"/>
  <c r="Y65" i="1"/>
  <c r="Y57" i="1"/>
  <c r="Y49" i="1"/>
  <c r="Y41" i="1"/>
  <c r="Y144" i="1"/>
  <c r="Y136" i="1"/>
  <c r="Y128" i="1"/>
  <c r="Y120" i="1"/>
  <c r="Y112" i="1"/>
  <c r="Y104" i="1"/>
  <c r="Y174" i="1"/>
  <c r="Y166" i="1"/>
  <c r="Y158" i="1"/>
  <c r="Y150" i="1"/>
  <c r="Y194" i="1"/>
  <c r="Y186" i="1"/>
  <c r="Y178" i="1"/>
  <c r="Y86" i="1"/>
  <c r="Y171" i="1"/>
  <c r="Y163" i="1"/>
  <c r="Y191" i="1"/>
  <c r="Y77" i="1"/>
  <c r="Y34" i="1"/>
  <c r="Y96" i="1"/>
  <c r="Y88" i="1"/>
  <c r="Y80" i="1"/>
  <c r="V75" i="1"/>
  <c r="W75" i="1" s="1"/>
  <c r="D75" i="2" s="1"/>
  <c r="Y72" i="1"/>
  <c r="Y64" i="1"/>
  <c r="V59" i="1"/>
  <c r="W59" i="1" s="1"/>
  <c r="Y56" i="1"/>
  <c r="V50" i="1"/>
  <c r="W50" i="1" s="1"/>
  <c r="Y48" i="1"/>
  <c r="V42" i="1"/>
  <c r="W42" i="1" s="1"/>
  <c r="Y40" i="1"/>
  <c r="Y143" i="1"/>
  <c r="V142" i="1"/>
  <c r="W142" i="1" s="1"/>
  <c r="V141" i="1"/>
  <c r="W141" i="1" s="1"/>
  <c r="V140" i="1"/>
  <c r="W140" i="1" s="1"/>
  <c r="V139" i="1"/>
  <c r="W139" i="1" s="1"/>
  <c r="D139" i="2" s="1"/>
  <c r="Y135" i="1"/>
  <c r="V134" i="1"/>
  <c r="W134" i="1" s="1"/>
  <c r="V133" i="1"/>
  <c r="W133" i="1" s="1"/>
  <c r="V132" i="1"/>
  <c r="W132" i="1" s="1"/>
  <c r="D132" i="2" s="1"/>
  <c r="V131" i="1"/>
  <c r="W131" i="1" s="1"/>
  <c r="V127" i="1"/>
  <c r="W127" i="1" s="1"/>
  <c r="Y127" i="1"/>
  <c r="V126" i="1"/>
  <c r="W126" i="1" s="1"/>
  <c r="V125" i="1"/>
  <c r="W125" i="1" s="1"/>
  <c r="V124" i="1"/>
  <c r="W124" i="1" s="1"/>
  <c r="D124" i="2" s="1"/>
  <c r="V123" i="1"/>
  <c r="W123" i="1" s="1"/>
  <c r="D123" i="2" s="1"/>
  <c r="V119" i="1"/>
  <c r="W119" i="1" s="1"/>
  <c r="D119" i="2" s="1"/>
  <c r="Y119" i="1"/>
  <c r="V118" i="1"/>
  <c r="W118" i="1" s="1"/>
  <c r="V117" i="1"/>
  <c r="W117" i="1" s="1"/>
  <c r="V116" i="1"/>
  <c r="W116" i="1" s="1"/>
  <c r="V115" i="1"/>
  <c r="W115" i="1" s="1"/>
  <c r="Y111" i="1"/>
  <c r="V110" i="1"/>
  <c r="W110" i="1" s="1"/>
  <c r="V109" i="1"/>
  <c r="W109" i="1" s="1"/>
  <c r="D109" i="2" s="1"/>
  <c r="V108" i="1"/>
  <c r="W108" i="1" s="1"/>
  <c r="Y103" i="1"/>
  <c r="V102" i="1"/>
  <c r="W102" i="1" s="1"/>
  <c r="V101" i="1"/>
  <c r="W101" i="1" s="1"/>
  <c r="V100" i="1"/>
  <c r="W100" i="1" s="1"/>
  <c r="D100" i="2" s="1"/>
  <c r="V99" i="1"/>
  <c r="W99" i="1" s="1"/>
  <c r="D99" i="2" s="1"/>
  <c r="V176" i="1"/>
  <c r="W176" i="1" s="1"/>
  <c r="D176" i="2" s="1"/>
  <c r="V175" i="1"/>
  <c r="W175" i="1" s="1"/>
  <c r="V174" i="1"/>
  <c r="W174" i="1" s="1"/>
  <c r="D174" i="2" s="1"/>
  <c r="Y173" i="1"/>
  <c r="D173" i="2" s="1"/>
  <c r="V172" i="1"/>
  <c r="W172" i="1" s="1"/>
  <c r="V171" i="1"/>
  <c r="W171" i="1" s="1"/>
  <c r="D171" i="2" s="1"/>
  <c r="V170" i="1"/>
  <c r="W170" i="1" s="1"/>
  <c r="D170" i="2" s="1"/>
  <c r="V169" i="1"/>
  <c r="W169" i="1" s="1"/>
  <c r="V168" i="1"/>
  <c r="W168" i="1" s="1"/>
  <c r="V167" i="1"/>
  <c r="W167" i="1" s="1"/>
  <c r="V166" i="1"/>
  <c r="W166" i="1" s="1"/>
  <c r="Y165" i="1"/>
  <c r="D165" i="2" s="1"/>
  <c r="V164" i="1"/>
  <c r="W164" i="1" s="1"/>
  <c r="V163" i="1"/>
  <c r="W163" i="1" s="1"/>
  <c r="V162" i="1"/>
  <c r="W162" i="1" s="1"/>
  <c r="D162" i="2" s="1"/>
  <c r="V161" i="1"/>
  <c r="W161" i="1" s="1"/>
  <c r="D161" i="2" s="1"/>
  <c r="V160" i="1"/>
  <c r="W160" i="1" s="1"/>
  <c r="V159" i="1"/>
  <c r="W159" i="1" s="1"/>
  <c r="V158" i="1"/>
  <c r="W158" i="1" s="1"/>
  <c r="D158" i="2" s="1"/>
  <c r="Y157" i="1"/>
  <c r="D157" i="2" s="1"/>
  <c r="V156" i="1"/>
  <c r="W156" i="1" s="1"/>
  <c r="V155" i="1"/>
  <c r="W155" i="1" s="1"/>
  <c r="D155" i="2" s="1"/>
  <c r="V154" i="1"/>
  <c r="W154" i="1" s="1"/>
  <c r="D154" i="2" s="1"/>
  <c r="V153" i="1"/>
  <c r="W153" i="1" s="1"/>
  <c r="D153" i="2" s="1"/>
  <c r="V152" i="1"/>
  <c r="W152" i="1" s="1"/>
  <c r="D152" i="2" s="1"/>
  <c r="V151" i="1"/>
  <c r="W151" i="1" s="1"/>
  <c r="V150" i="1"/>
  <c r="W150" i="1" s="1"/>
  <c r="Y149" i="1"/>
  <c r="D149" i="2" s="1"/>
  <c r="V148" i="1"/>
  <c r="W148" i="1" s="1"/>
  <c r="V147" i="1"/>
  <c r="W147" i="1" s="1"/>
  <c r="D147" i="2" s="1"/>
  <c r="V146" i="1"/>
  <c r="W146" i="1" s="1"/>
  <c r="Y193" i="1"/>
  <c r="V190" i="1"/>
  <c r="W190" i="1" s="1"/>
  <c r="D190" i="2" s="1"/>
  <c r="Y185" i="1"/>
  <c r="V182" i="1"/>
  <c r="W182" i="1" s="1"/>
  <c r="Y177" i="1"/>
  <c r="Y95" i="1"/>
  <c r="V91" i="1"/>
  <c r="W91" i="1" s="1"/>
  <c r="D91" i="2" s="1"/>
  <c r="Y87" i="1"/>
  <c r="V83" i="1"/>
  <c r="W83" i="1" s="1"/>
  <c r="D83" i="2" s="1"/>
  <c r="Y79" i="1"/>
  <c r="Y71" i="1"/>
  <c r="V67" i="1"/>
  <c r="W67" i="1" s="1"/>
  <c r="D67" i="2" s="1"/>
  <c r="Y63" i="1"/>
  <c r="Y55" i="1"/>
  <c r="Y47" i="1"/>
  <c r="Y39" i="1"/>
  <c r="Y142" i="1"/>
  <c r="Y134" i="1"/>
  <c r="Y126" i="1"/>
  <c r="Y118" i="1"/>
  <c r="Y110" i="1"/>
  <c r="Y102" i="1"/>
  <c r="Y172" i="1"/>
  <c r="Y164" i="1"/>
  <c r="Y156" i="1"/>
  <c r="Y148" i="1"/>
  <c r="Y192" i="1"/>
  <c r="Y184" i="1"/>
  <c r="Y198" i="1"/>
  <c r="Y10" i="1"/>
  <c r="Y31" i="1"/>
  <c r="Y23" i="1"/>
  <c r="Y14" i="1"/>
  <c r="Y9" i="1"/>
  <c r="Y30" i="1"/>
  <c r="Y22" i="1"/>
  <c r="Y13" i="1"/>
  <c r="Y8" i="1"/>
  <c r="Y29" i="1"/>
  <c r="Y21" i="1"/>
  <c r="Y12" i="1"/>
  <c r="Y7" i="1"/>
  <c r="Y28" i="1"/>
  <c r="Y20" i="1"/>
  <c r="Y6" i="1"/>
  <c r="Y27" i="1"/>
  <c r="Y19" i="1"/>
  <c r="Y4" i="1"/>
  <c r="Y26" i="1"/>
  <c r="Y18" i="1"/>
  <c r="Y25" i="1"/>
  <c r="Y17" i="1"/>
  <c r="Y11" i="1"/>
  <c r="Y32" i="1"/>
  <c r="Y24" i="1"/>
  <c r="Y16" i="1"/>
  <c r="Y15" i="1"/>
  <c r="V31" i="1"/>
  <c r="W31" i="1" s="1"/>
  <c r="V8" i="1"/>
  <c r="W8" i="1" s="1"/>
  <c r="D8" i="2" s="1"/>
  <c r="V3" i="1"/>
  <c r="V23" i="1"/>
  <c r="W23" i="1" s="1"/>
  <c r="V9" i="1"/>
  <c r="W9" i="1" s="1"/>
  <c r="V7" i="1"/>
  <c r="W7" i="1" s="1"/>
  <c r="V4" i="1"/>
  <c r="W4" i="1" s="1"/>
  <c r="D4" i="2" s="1"/>
  <c r="V5" i="1"/>
  <c r="W5" i="1" s="1"/>
  <c r="D5" i="2" s="1"/>
  <c r="V15" i="1"/>
  <c r="V103" i="1"/>
  <c r="W103" i="1" s="1"/>
  <c r="V191" i="1"/>
  <c r="W191" i="1" s="1"/>
  <c r="D191" i="2" s="1"/>
  <c r="V183" i="1"/>
  <c r="W183" i="1" s="1"/>
  <c r="D183" i="2" s="1"/>
  <c r="V198" i="1"/>
  <c r="W198" i="1" s="1"/>
  <c r="V111" i="1"/>
  <c r="W111" i="1" s="1"/>
  <c r="D111" i="2" s="1"/>
  <c r="V196" i="1"/>
  <c r="W196" i="1" s="1"/>
  <c r="D196" i="2" s="1"/>
  <c r="V194" i="1"/>
  <c r="W194" i="1" s="1"/>
  <c r="V193" i="1"/>
  <c r="W193" i="1" s="1"/>
  <c r="D193" i="2" s="1"/>
  <c r="V188" i="1"/>
  <c r="W188" i="1" s="1"/>
  <c r="D188" i="2" s="1"/>
  <c r="V186" i="1"/>
  <c r="W186" i="1" s="1"/>
  <c r="D186" i="2" s="1"/>
  <c r="V185" i="1"/>
  <c r="W185" i="1" s="1"/>
  <c r="V180" i="1"/>
  <c r="W180" i="1" s="1"/>
  <c r="D180" i="2" s="1"/>
  <c r="V178" i="1"/>
  <c r="W178" i="1" s="1"/>
  <c r="V177" i="1"/>
  <c r="W177" i="1" s="1"/>
  <c r="V138" i="1"/>
  <c r="W138" i="1" s="1"/>
  <c r="V130" i="1"/>
  <c r="W130" i="1" s="1"/>
  <c r="D130" i="2" s="1"/>
  <c r="V122" i="1"/>
  <c r="W122" i="1" s="1"/>
  <c r="D122" i="2" s="1"/>
  <c r="V114" i="1"/>
  <c r="W114" i="1" s="1"/>
  <c r="D114" i="2" s="1"/>
  <c r="V112" i="1"/>
  <c r="W112" i="1" s="1"/>
  <c r="D112" i="2" s="1"/>
  <c r="V106" i="1"/>
  <c r="W106" i="1" s="1"/>
  <c r="V104" i="1"/>
  <c r="W104" i="1" s="1"/>
  <c r="D104" i="2" s="1"/>
  <c r="V143" i="1"/>
  <c r="W143" i="1" s="1"/>
  <c r="V33" i="1"/>
  <c r="W33" i="1" s="1"/>
  <c r="V29" i="1"/>
  <c r="W29" i="1" s="1"/>
  <c r="V26" i="1"/>
  <c r="W26" i="1" s="1"/>
  <c r="D26" i="2" s="1"/>
  <c r="V24" i="1"/>
  <c r="W24" i="1" s="1"/>
  <c r="V22" i="1"/>
  <c r="W22" i="1" s="1"/>
  <c r="V20" i="1"/>
  <c r="W20" i="1" s="1"/>
  <c r="V19" i="1"/>
  <c r="W19" i="1" s="1"/>
  <c r="D19" i="2" s="1"/>
  <c r="V17" i="1"/>
  <c r="W17" i="1" s="1"/>
  <c r="D17" i="2" s="1"/>
  <c r="V14" i="1"/>
  <c r="W14" i="1" s="1"/>
  <c r="D14" i="2" s="1"/>
  <c r="V13" i="1"/>
  <c r="W13" i="1" s="1"/>
  <c r="V98" i="1"/>
  <c r="W98" i="1" s="1"/>
  <c r="D98" i="2" s="1"/>
  <c r="V97" i="1"/>
  <c r="W97" i="1" s="1"/>
  <c r="D97" i="2" s="1"/>
  <c r="V96" i="1"/>
  <c r="W96" i="1" s="1"/>
  <c r="D96" i="2" s="1"/>
  <c r="V95" i="1"/>
  <c r="W95" i="1" s="1"/>
  <c r="D95" i="2" s="1"/>
  <c r="V94" i="1"/>
  <c r="W94" i="1" s="1"/>
  <c r="D94" i="2" s="1"/>
  <c r="V93" i="1"/>
  <c r="W93" i="1" s="1"/>
  <c r="V92" i="1"/>
  <c r="W92" i="1" s="1"/>
  <c r="D92" i="2" s="1"/>
  <c r="V90" i="1"/>
  <c r="W90" i="1" s="1"/>
  <c r="D90" i="2" s="1"/>
  <c r="V89" i="1"/>
  <c r="W89" i="1" s="1"/>
  <c r="V88" i="1"/>
  <c r="W88" i="1" s="1"/>
  <c r="D88" i="2" s="1"/>
  <c r="V87" i="1"/>
  <c r="W87" i="1" s="1"/>
  <c r="D87" i="2" s="1"/>
  <c r="V86" i="1"/>
  <c r="W86" i="1" s="1"/>
  <c r="D86" i="2" s="1"/>
  <c r="V85" i="1"/>
  <c r="W85" i="1" s="1"/>
  <c r="D85" i="2" s="1"/>
  <c r="V84" i="1"/>
  <c r="W84" i="1" s="1"/>
  <c r="V82" i="1"/>
  <c r="W82" i="1" s="1"/>
  <c r="D82" i="2" s="1"/>
  <c r="V81" i="1"/>
  <c r="W81" i="1" s="1"/>
  <c r="V80" i="1"/>
  <c r="W80" i="1" s="1"/>
  <c r="D80" i="2" s="1"/>
  <c r="V79" i="1"/>
  <c r="W79" i="1" s="1"/>
  <c r="D79" i="2" s="1"/>
  <c r="V78" i="1"/>
  <c r="W78" i="1" s="1"/>
  <c r="D78" i="2" s="1"/>
  <c r="V77" i="1"/>
  <c r="W77" i="1" s="1"/>
  <c r="V76" i="1"/>
  <c r="W76" i="1" s="1"/>
  <c r="D76" i="2" s="1"/>
  <c r="V74" i="1"/>
  <c r="W74" i="1" s="1"/>
  <c r="D74" i="2" s="1"/>
  <c r="V73" i="1"/>
  <c r="W73" i="1" s="1"/>
  <c r="D73" i="2" s="1"/>
  <c r="V72" i="1"/>
  <c r="W72" i="1" s="1"/>
  <c r="V71" i="1"/>
  <c r="W71" i="1" s="1"/>
  <c r="V70" i="1"/>
  <c r="W70" i="1" s="1"/>
  <c r="V69" i="1"/>
  <c r="W69" i="1" s="1"/>
  <c r="D69" i="2" s="1"/>
  <c r="V68" i="1"/>
  <c r="W68" i="1" s="1"/>
  <c r="V66" i="1"/>
  <c r="W66" i="1" s="1"/>
  <c r="D66" i="2" s="1"/>
  <c r="V65" i="1"/>
  <c r="W65" i="1" s="1"/>
  <c r="D65" i="2" s="1"/>
  <c r="V64" i="1"/>
  <c r="W64" i="1" s="1"/>
  <c r="D64" i="2" s="1"/>
  <c r="V63" i="1"/>
  <c r="W63" i="1" s="1"/>
  <c r="V62" i="1"/>
  <c r="W62" i="1" s="1"/>
  <c r="V61" i="1"/>
  <c r="W61" i="1" s="1"/>
  <c r="D61" i="2" s="1"/>
  <c r="V60" i="1"/>
  <c r="W60" i="1" s="1"/>
  <c r="V58" i="1"/>
  <c r="W58" i="1" s="1"/>
  <c r="V57" i="1"/>
  <c r="W57" i="1" s="1"/>
  <c r="V56" i="1"/>
  <c r="W56" i="1" s="1"/>
  <c r="D56" i="2" s="1"/>
  <c r="V55" i="1"/>
  <c r="W55" i="1" s="1"/>
  <c r="V54" i="1"/>
  <c r="W54" i="1" s="1"/>
  <c r="V53" i="1"/>
  <c r="W53" i="1" s="1"/>
  <c r="D53" i="2" s="1"/>
  <c r="V52" i="1"/>
  <c r="W52" i="1" s="1"/>
  <c r="D52" i="2" s="1"/>
  <c r="V51" i="1"/>
  <c r="W51" i="1" s="1"/>
  <c r="V49" i="1"/>
  <c r="W49" i="1" s="1"/>
  <c r="D49" i="2" s="1"/>
  <c r="V48" i="1"/>
  <c r="W48" i="1" s="1"/>
  <c r="D48" i="2" s="1"/>
  <c r="V47" i="1"/>
  <c r="W47" i="1" s="1"/>
  <c r="D47" i="2" s="1"/>
  <c r="V46" i="1"/>
  <c r="W46" i="1" s="1"/>
  <c r="V45" i="1"/>
  <c r="W45" i="1" s="1"/>
  <c r="D45" i="2" s="1"/>
  <c r="V44" i="1"/>
  <c r="W44" i="1" s="1"/>
  <c r="D44" i="2" s="1"/>
  <c r="V43" i="1"/>
  <c r="W43" i="1" s="1"/>
  <c r="V41" i="1"/>
  <c r="W41" i="1" s="1"/>
  <c r="V40" i="1"/>
  <c r="W40" i="1" s="1"/>
  <c r="D40" i="2" s="1"/>
  <c r="V39" i="1"/>
  <c r="W39" i="1" s="1"/>
  <c r="D39" i="2" s="1"/>
  <c r="V38" i="1"/>
  <c r="W38" i="1" s="1"/>
  <c r="D38" i="2" s="1"/>
  <c r="V37" i="1"/>
  <c r="W37" i="1" s="1"/>
  <c r="D37" i="2" s="1"/>
  <c r="V36" i="1"/>
  <c r="W36" i="1" s="1"/>
  <c r="D36" i="2" s="1"/>
  <c r="V35" i="1"/>
  <c r="W35" i="1" s="1"/>
  <c r="V145" i="1"/>
  <c r="W145" i="1" s="1"/>
  <c r="D145" i="2" s="1"/>
  <c r="V144" i="1"/>
  <c r="W144" i="1" s="1"/>
  <c r="V137" i="1"/>
  <c r="W137" i="1" s="1"/>
  <c r="D137" i="2" s="1"/>
  <c r="V136" i="1"/>
  <c r="W136" i="1" s="1"/>
  <c r="V129" i="1"/>
  <c r="W129" i="1" s="1"/>
  <c r="D129" i="2" s="1"/>
  <c r="V128" i="1"/>
  <c r="W128" i="1" s="1"/>
  <c r="V121" i="1"/>
  <c r="W121" i="1" s="1"/>
  <c r="D121" i="2" s="1"/>
  <c r="V120" i="1"/>
  <c r="W120" i="1" s="1"/>
  <c r="D120" i="2" s="1"/>
  <c r="V113" i="1"/>
  <c r="W113" i="1" s="1"/>
  <c r="D113" i="2" s="1"/>
  <c r="V105" i="1"/>
  <c r="W105" i="1" s="1"/>
  <c r="V34" i="1"/>
  <c r="W34" i="1" s="1"/>
  <c r="D34" i="2" s="1"/>
  <c r="V32" i="1"/>
  <c r="W32" i="1" s="1"/>
  <c r="V30" i="1"/>
  <c r="W30" i="1" s="1"/>
  <c r="V28" i="1"/>
  <c r="W28" i="1" s="1"/>
  <c r="V27" i="1"/>
  <c r="W27" i="1" s="1"/>
  <c r="V25" i="1"/>
  <c r="W25" i="1" s="1"/>
  <c r="D25" i="2" s="1"/>
  <c r="V21" i="1"/>
  <c r="W21" i="1" s="1"/>
  <c r="D21" i="2" s="1"/>
  <c r="V18" i="1"/>
  <c r="V16" i="1"/>
  <c r="W16" i="1" s="1"/>
  <c r="V12" i="1"/>
  <c r="W12" i="1" s="1"/>
  <c r="D12" i="2" s="1"/>
  <c r="V11" i="1"/>
  <c r="W11" i="1" s="1"/>
  <c r="V10" i="1"/>
  <c r="W10" i="1" s="1"/>
  <c r="D10" i="2" s="1"/>
  <c r="V135" i="1"/>
  <c r="W135" i="1" s="1"/>
  <c r="D135" i="2" s="1"/>
  <c r="V197" i="1"/>
  <c r="W197" i="1" s="1"/>
  <c r="D197" i="2" s="1"/>
  <c r="V195" i="1"/>
  <c r="W195" i="1" s="1"/>
  <c r="D195" i="2" s="1"/>
  <c r="V192" i="1"/>
  <c r="W192" i="1" s="1"/>
  <c r="V189" i="1"/>
  <c r="W189" i="1" s="1"/>
  <c r="D189" i="2" s="1"/>
  <c r="V187" i="1"/>
  <c r="W187" i="1" s="1"/>
  <c r="D187" i="2" s="1"/>
  <c r="V184" i="1"/>
  <c r="W184" i="1" s="1"/>
  <c r="D184" i="2" s="1"/>
  <c r="V181" i="1"/>
  <c r="W181" i="1" s="1"/>
  <c r="V179" i="1"/>
  <c r="W179" i="1" s="1"/>
  <c r="D179" i="2" s="1"/>
  <c r="V6" i="1"/>
  <c r="W6" i="1" s="1"/>
  <c r="D194" i="2" l="1"/>
  <c r="D178" i="2"/>
  <c r="D175" i="2"/>
  <c r="D159" i="2"/>
  <c r="D160" i="2"/>
  <c r="D169" i="2"/>
  <c r="D144" i="2"/>
  <c r="D151" i="2"/>
  <c r="D133" i="2"/>
  <c r="D138" i="2"/>
  <c r="D108" i="2"/>
  <c r="D128" i="2"/>
  <c r="D101" i="2"/>
  <c r="D81" i="2"/>
  <c r="D60" i="2"/>
  <c r="D62" i="2"/>
  <c r="D51" i="2"/>
  <c r="D29" i="2"/>
  <c r="D55" i="2"/>
  <c r="D35" i="2"/>
  <c r="D27" i="2"/>
  <c r="D33" i="2"/>
  <c r="D32" i="2"/>
  <c r="D16" i="2"/>
  <c r="D20" i="2"/>
  <c r="D43" i="2"/>
  <c r="D24" i="2"/>
  <c r="D182" i="2"/>
  <c r="D150" i="2"/>
  <c r="D89" i="2"/>
  <c r="D103" i="2"/>
  <c r="D167" i="2"/>
  <c r="D6" i="2"/>
  <c r="D63" i="2"/>
  <c r="D13" i="2"/>
  <c r="D31" i="2"/>
  <c r="D168" i="2"/>
  <c r="D42" i="2"/>
  <c r="D181" i="2"/>
  <c r="D11" i="2"/>
  <c r="D93" i="2"/>
  <c r="D177" i="2"/>
  <c r="D115" i="2"/>
  <c r="D125" i="2"/>
  <c r="D116" i="2"/>
  <c r="D136" i="2"/>
  <c r="D68" i="2"/>
  <c r="D77" i="2"/>
  <c r="D198" i="2"/>
  <c r="D117" i="2"/>
  <c r="D54" i="2"/>
  <c r="D72" i="2"/>
  <c r="D110" i="2"/>
  <c r="D28" i="2"/>
  <c r="D46" i="2"/>
  <c r="D84" i="2"/>
  <c r="D143" i="2"/>
  <c r="D146" i="2"/>
  <c r="D30" i="2"/>
  <c r="D7" i="2"/>
  <c r="D163" i="2"/>
  <c r="D126" i="2"/>
  <c r="D50" i="2"/>
  <c r="D9" i="2"/>
  <c r="D148" i="2"/>
  <c r="D156" i="2"/>
  <c r="D164" i="2"/>
  <c r="D102" i="2"/>
  <c r="D58" i="2"/>
  <c r="D106" i="2"/>
  <c r="D105" i="2"/>
  <c r="D41" i="2"/>
  <c r="D22" i="2"/>
  <c r="D185" i="2"/>
  <c r="D23" i="2"/>
  <c r="D118" i="2"/>
  <c r="D127" i="2"/>
  <c r="D59" i="2"/>
  <c r="D70" i="2"/>
  <c r="D166" i="2"/>
  <c r="D131" i="2"/>
  <c r="D142" i="2"/>
  <c r="D192" i="2"/>
  <c r="D172" i="2"/>
  <c r="D141" i="2"/>
  <c r="D140" i="2"/>
  <c r="D134" i="2"/>
  <c r="D71" i="2"/>
  <c r="D57" i="2"/>
  <c r="AG38" i="1"/>
  <c r="AP38" i="1" s="1"/>
  <c r="AP37" i="1"/>
  <c r="W18" i="1"/>
  <c r="D18" i="2" s="1"/>
  <c r="AF17" i="1"/>
  <c r="W3" i="1"/>
  <c r="D3" i="2" s="1"/>
  <c r="W15" i="1"/>
  <c r="D15" i="2" s="1"/>
  <c r="H8" i="2" l="1"/>
  <c r="AD8" i="1" s="1"/>
  <c r="F8" i="2"/>
  <c r="AB8" i="1" s="1"/>
  <c r="H5" i="2"/>
  <c r="AD5" i="1" s="1"/>
  <c r="G17" i="2"/>
  <c r="AC17" i="1" s="1"/>
  <c r="F5" i="2"/>
  <c r="AB5" i="1" s="1"/>
  <c r="H14" i="2"/>
  <c r="AD14" i="1" s="1"/>
  <c r="F14" i="2"/>
  <c r="AB14" i="1" s="1"/>
  <c r="H11" i="2"/>
  <c r="AD11" i="1" s="1"/>
  <c r="F11" i="2"/>
  <c r="AB11" i="1" s="1"/>
  <c r="AF3" i="1" l="1"/>
  <c r="A315" i="2"/>
</calcChain>
</file>

<file path=xl/sharedStrings.xml><?xml version="1.0" encoding="utf-8"?>
<sst xmlns="http://schemas.openxmlformats.org/spreadsheetml/2006/main" count="4037" uniqueCount="674">
  <si>
    <t>disgust</t>
  </si>
  <si>
    <t>trust</t>
  </si>
  <si>
    <t>AMBIGUOUS</t>
  </si>
  <si>
    <t>joy</t>
  </si>
  <si>
    <t>anger</t>
  </si>
  <si>
    <t>sadness</t>
  </si>
  <si>
    <t>fear</t>
  </si>
  <si>
    <t>surprise</t>
  </si>
  <si>
    <t>anticipation</t>
  </si>
  <si>
    <t>ANNOTATOR</t>
  </si>
  <si>
    <t>ITEM #</t>
  </si>
  <si>
    <t>EMOTION</t>
  </si>
  <si>
    <t>MAX</t>
  </si>
  <si>
    <t>MAJ</t>
  </si>
  <si>
    <t>MAJORITY</t>
  </si>
  <si>
    <t>FILENAME</t>
  </si>
  <si>
    <t>adolf-hitler_shelter-in-fournes</t>
  </si>
  <si>
    <t>adolf-hitler_the-castle-on-the-donau</t>
  </si>
  <si>
    <t>adolf-hitler_the-courtyard-of-the-old-residency-in-munich-1913</t>
  </si>
  <si>
    <t>adolf-hitler_the-st-charles-church</t>
  </si>
  <si>
    <t>adolf-hitler_white-orchids</t>
  </si>
  <si>
    <t>albert-bierstadt_bison-with-coyotes-in-the-background</t>
  </si>
  <si>
    <t>albert-bierstadt_rainbow-over-a-fallen-stag</t>
  </si>
  <si>
    <t>albert-bierstadt_wharf-scene</t>
  </si>
  <si>
    <t>alekos-kontopoulos_figures-1</t>
  </si>
  <si>
    <t>alekos-kontopoulos_figures</t>
  </si>
  <si>
    <t>alekos-kontopoulos_girl-with-rose</t>
  </si>
  <si>
    <t>alekos-kontopoulos_landscape-1945</t>
  </si>
  <si>
    <t>alekos-kontopoulos_portrait-of-eugenia-wife-of-kleomenis-tsitsaras</t>
  </si>
  <si>
    <t>aleksey-savrasov_after-the-storm</t>
  </si>
  <si>
    <t>aleksey-savrasov_alley</t>
  </si>
  <si>
    <t>aleksey-savrasov_autumn-landscape-with-a-swampy-river-in-the-moonlight-1871</t>
  </si>
  <si>
    <t>aleksey-savrasov_autumn-village-near-the-stream</t>
  </si>
  <si>
    <t>aleksey-savrasov_before-the-storm-1850</t>
  </si>
  <si>
    <t>aleksey-savrasov_bivouac-in-the-desert-convoy-chumakov-1867-1</t>
  </si>
  <si>
    <t>aleksey-savrasov_by-late-summer-on-the-volga-1873</t>
  </si>
  <si>
    <t>aleksey-savrasov_caves-monastery-near-nizhny-novgorod-1871</t>
  </si>
  <si>
    <t>aleksey-savrasov_clearance</t>
  </si>
  <si>
    <t>aleksey-savrasov_compressed-field-1874</t>
  </si>
  <si>
    <t>aleksey-savrasov_courtyard-spring-1853</t>
  </si>
  <si>
    <t>aleksey-savrasov_dimensions-and-material-of-painting-1868</t>
  </si>
  <si>
    <t>aleksey-savrasov_early-spring-1</t>
  </si>
  <si>
    <t>aleksey-savrasov_early-spring-thaw-1885</t>
  </si>
  <si>
    <t>aleksey-savrasov_elk-island</t>
  </si>
  <si>
    <t>aleksey-savrasov_evening-1877</t>
  </si>
  <si>
    <t>aleksey-savrasov_forest-near-the-lake-illuminated-by-the-sun-1856</t>
  </si>
  <si>
    <t>aleksey-savrasov_gulf-of-finland-1854</t>
  </si>
  <si>
    <t>aleksey-savrasov_kutuzovskaya-hut-at-fili</t>
  </si>
  <si>
    <t>aleksey-savrasov_landscape-with-a-house</t>
  </si>
  <si>
    <t>aleksey-savrasov_landscape-with-a-mill-1861</t>
  </si>
  <si>
    <t>aleksey-savrasov_landscape-with-church-and-the-ruins-1861</t>
  </si>
  <si>
    <t>aleksey-savrasov_landscape-with-hut</t>
  </si>
  <si>
    <t>aleksey-savrasov_lell-1883</t>
  </si>
  <si>
    <t>aleksey-savrasov_monastery-gates-1875</t>
  </si>
  <si>
    <t>aleksey-savrasov_moonlit-night-1853</t>
  </si>
  <si>
    <t>aleksey-savrasov_motives-of-the-russian-landscape</t>
  </si>
  <si>
    <t>aleksey-savrasov_near-the-village-of-st-michael-pskov-province</t>
  </si>
  <si>
    <t>aleksey-savrasov_night-on-the-sparrow-hills-1881</t>
  </si>
  <si>
    <t>aleksey-savrasov_oak</t>
  </si>
  <si>
    <t>aleksey-savrasov_oaks</t>
  </si>
  <si>
    <t>aleksey-savrasov_rafts-1868</t>
  </si>
  <si>
    <t>aleksey-savrasov_rooks-arrived-landscape-with-church-1894</t>
  </si>
  <si>
    <t>aleksey-savrasov_rye-1881-1</t>
  </si>
  <si>
    <t>aleksey-savrasov_rye-1881</t>
  </si>
  <si>
    <t>aleksey-savrasov_spring-1880</t>
  </si>
  <si>
    <t>aleksey-savrasov_spring-1883</t>
  </si>
  <si>
    <t>aleksey-savrasov_spring-is-coming-1874</t>
  </si>
  <si>
    <t>aleksey-savrasov_spring-kitchen-gardens-1893</t>
  </si>
  <si>
    <t>aleksey-savrasov_spring-landscape-1890-1</t>
  </si>
  <si>
    <t>aleksey-savrasov_spring-landscape-1890</t>
  </si>
  <si>
    <t>aleksey-savrasov_spring-thaw</t>
  </si>
  <si>
    <t>aleksey-savrasov_spring-the-rooks-have-arrived-1872</t>
  </si>
  <si>
    <t>aleksey-savrasov_spring</t>
  </si>
  <si>
    <t>aleksey-savrasov_strongly-melts-1894</t>
  </si>
  <si>
    <t>aleksey-savrasov_stumps-1854</t>
  </si>
  <si>
    <t>aleksey-savrasov_summer-day-1874</t>
  </si>
  <si>
    <t>aleksey-savrasov_summer-landscape-with-pine-trees-near-the-river-1878</t>
  </si>
  <si>
    <t>aleksey-savrasov_sundown-over-a-marsh-1871</t>
  </si>
  <si>
    <t>aleksey-savrasov_sunset-1875</t>
  </si>
  <si>
    <t>aleksey-savrasov_sunset</t>
  </si>
  <si>
    <t>aleksey-savrasov_the-road-in-the-woods-1871</t>
  </si>
  <si>
    <t>aleksey-savrasov_the-volga-river-vistas</t>
  </si>
  <si>
    <t>aleksey-savrasov_tomb-on-the-banks-of-the-volga-1871</t>
  </si>
  <si>
    <t>aleksey-savrasov_trees-by-the-river-1861</t>
  </si>
  <si>
    <t>aleksey-savrasov_type-in-a-village-near-moscow-kuntsevo-1855</t>
  </si>
  <si>
    <t>aleksey-savrasov_type-in-the-swiss-alps-mount-small-ruhen-1862</t>
  </si>
  <si>
    <t>aleksey-savrasov_type-of-kiev-from-the-dnieper-to-the-pechersk-lavra-1852</t>
  </si>
  <si>
    <t>aleksey-savrasov_type-of-volga-under-yurievts</t>
  </si>
  <si>
    <t>aleksey-savrasov_ukrainian-landscape</t>
  </si>
  <si>
    <t>aleksey-savrasov_view-in-the-neighbourhood-of-oranienbaum-1854</t>
  </si>
  <si>
    <t>aleksey-savrasov_volga-1870-1</t>
  </si>
  <si>
    <t>aleksey-savrasov_volga-1870</t>
  </si>
  <si>
    <t>aleksey-savrasov_willow-by-the-pond-1872</t>
  </si>
  <si>
    <t>aleksey-savrasov_winter-landscape-1871</t>
  </si>
  <si>
    <t>aleksey-savrasov_winter-landscape-rime</t>
  </si>
  <si>
    <t>aleksey-savrasov_winter-night-1869</t>
  </si>
  <si>
    <t>aleksey-savrasov_wooded-banks-of-the-moskva-river-1859</t>
  </si>
  <si>
    <t>alexey-bogolyubov_baku-1861</t>
  </si>
  <si>
    <t>alexey-bogolyubov_battle-of-krasnaya-gorka-1866</t>
  </si>
  <si>
    <t>alexey-bogolyubov_easter-procession-in-yaroslavl-1863</t>
  </si>
  <si>
    <t>alexey-bogolyubov_norman-city-1879</t>
  </si>
  <si>
    <t>alexey-bogolyubov_the-battle-of-gangut-july-27-1714-1877</t>
  </si>
  <si>
    <t>alexey-bogolyubov_vel-normandy-1880</t>
  </si>
  <si>
    <t>alexey-bogolyubov_wreck-of-livadia-fragment-1878</t>
  </si>
  <si>
    <t>alexey-venetsianov_a-herd-boy-with-a-pipe-1</t>
  </si>
  <si>
    <t>alexey-venetsianov_a-peasant-girl-with-embroidery</t>
  </si>
  <si>
    <t>alexey-venetsianov_a-peasant-woman-with-a-child</t>
  </si>
  <si>
    <t>alexey-venetsianov_a-peasant-woman-with-scythe-and-rake</t>
  </si>
  <si>
    <t>alexey-venetsianov_checkered-shawl</t>
  </si>
  <si>
    <t>alexey-venetsianov_communion-of-dying</t>
  </si>
  <si>
    <t>alexey-venetsianov_head-of-an-old-peasant</t>
  </si>
  <si>
    <t>alexey-venetsianov_old-nurse-in-shlychkov</t>
  </si>
  <si>
    <t>alexey-venetsianov_peasant-boy-putting-on-bast-sandals-1827</t>
  </si>
  <si>
    <t>alexey-venetsianov_peasant-boy</t>
  </si>
  <si>
    <t>alexey-venetsianov_peasant-woman-with-milk</t>
  </si>
  <si>
    <t>alexey-venetsianov_peter-the-great-founding-of-st-petersburg</t>
  </si>
  <si>
    <t>alexey-venetsianov_portrait-of-marfa-venetsianova</t>
  </si>
  <si>
    <t>alexey-venetsianov_portret-of-v-s-putyatina</t>
  </si>
  <si>
    <t>alexey-venetsianov_the-farmer-with-folded-arms</t>
  </si>
  <si>
    <t>alexey-venetsianov_the-lamentation</t>
  </si>
  <si>
    <t>alfred-sisley_avenue-of-chestnut-trees-near-la-celle-saint-cloud-1865</t>
  </si>
  <si>
    <t>alfred-sisley_avenue-of-chestnut-trees-near-la-celle-saint-cloud-1867</t>
  </si>
  <si>
    <t>alfred-sisley_still-life-heron-with-spread-wings-1867</t>
  </si>
  <si>
    <t>anders-zorn_a-girl-from-mora</t>
  </si>
  <si>
    <t>anders-zorn_against-the-current-1919</t>
  </si>
  <si>
    <t>anders-zorn_coquelin-cadet-1889</t>
  </si>
  <si>
    <t>anders-zorn_hugo-reisinger-1907</t>
  </si>
  <si>
    <t>anders-zorn_lucky-with-the-ladies</t>
  </si>
  <si>
    <t>anders-zorn_martha-dana</t>
  </si>
  <si>
    <t>anders-zorn_mona-1889</t>
  </si>
  <si>
    <t>anders-zorn_mona-1898</t>
  </si>
  <si>
    <t>anders-zorn_mona-1911-1</t>
  </si>
  <si>
    <t>anders-zorn_my-model-and-my-boat-1894</t>
  </si>
  <si>
    <t>anders-zorn_neglected-1884</t>
  </si>
  <si>
    <t>anders-zorn_nude-woman-arranging-her-hair-1907</t>
  </si>
  <si>
    <t>anders-zorn_old-soldier-1911</t>
  </si>
  <si>
    <t>anders-zorn_opal-1891</t>
  </si>
  <si>
    <t>anders-zorn_out-1888</t>
  </si>
  <si>
    <t>anders-zorn_portrait-of-emma-in-the-paris-studio-1894</t>
  </si>
  <si>
    <t>anders-zorn_self-portrait-in-red-1915</t>
  </si>
  <si>
    <t>anders-zorn_self-portrait</t>
  </si>
  <si>
    <t>anders-zorn_study-of-landscape-in-richmond-1882</t>
  </si>
  <si>
    <t>anders-zorn_the-battleship-baltimore-in-stockholm-harbor-1890</t>
  </si>
  <si>
    <t>anders-zorn_the-broken-pot</t>
  </si>
  <si>
    <t>anders-zorn_the-guitar-1895</t>
  </si>
  <si>
    <t>anders-zorn_the-mora-fair-1892</t>
  </si>
  <si>
    <t>anders-zorn_zorn-and-his-wife-1890</t>
  </si>
  <si>
    <t>andrei-ryabushkin_in-the-village-girl-with-a-bucket</t>
  </si>
  <si>
    <t>andrei-ryabushkin_moscow-girl-of-xvii-century</t>
  </si>
  <si>
    <t>andrei-ryabushkin_novgorod-church</t>
  </si>
  <si>
    <t>andrei-ryabushkin_tea-party</t>
  </si>
  <si>
    <t>andrei-ryabushkin_the-old-men</t>
  </si>
  <si>
    <t>anton-azbe_portrait-of-a-bavarian-man-1889</t>
  </si>
  <si>
    <t>anton-azbe_the-village-choir-1900</t>
  </si>
  <si>
    <t>antonio-carneiro_retrato-de-cl-udio-e-maria-1922</t>
  </si>
  <si>
    <t>antã³nio-de-carvalho-da-silva-porto_a-apanha-do-sarga-o-1884</t>
  </si>
  <si>
    <t>antã³nio-de-carvalho-da-silva-porto_auto-retrato-1873</t>
  </si>
  <si>
    <t>antã³nio-de-carvalho-da-silva-porto_colheita-ceifeiras</t>
  </si>
  <si>
    <t>antã³nio-de-carvalho-da-silva-porto_moinho-do-estev-o-alcochete-1887</t>
  </si>
  <si>
    <t>antã³nio-de-carvalho-da-silva-porto_t-te-de-jeune-fille</t>
  </si>
  <si>
    <t>aristarkh-lentulov_night-at-patriarch-s-ponds-1928</t>
  </si>
  <si>
    <t>aristarkh-lentulov_sunset-on-the-volga-1928</t>
  </si>
  <si>
    <t>aristarkh-lentulov_the-st-sergius-posad-1922</t>
  </si>
  <si>
    <t>arkhip-kuindzhi_a-birch-grove-1901</t>
  </si>
  <si>
    <t>arkhip-kuindzhi_a-boat-in-the-sea-crimea</t>
  </si>
  <si>
    <t>arkhip-kuindzhi_dnieper-in-the-morning-1881</t>
  </si>
  <si>
    <t>arkhip-kuindzhi_early-spring</t>
  </si>
  <si>
    <t>arkhip-kuindzhi_elbrus-in-the-evening-1</t>
  </si>
  <si>
    <t>arkhip-kuindzhi_forest-1</t>
  </si>
  <si>
    <t>arkhip-kuindzhi_forest-landscape</t>
  </si>
  <si>
    <t>arkhip-kuindzhi_forgotten-village-1874</t>
  </si>
  <si>
    <t>arkhip-kuindzhi_lake-ladoga-1873</t>
  </si>
  <si>
    <t>arkhip-kuindzhi_mountains-and-clouds</t>
  </si>
  <si>
    <t>arkhip-kuindzhi_night-1</t>
  </si>
  <si>
    <t>arkhip-kuindzhi_night-landscape</t>
  </si>
  <si>
    <t>arkhip-kuindzhi_on-a-valaam-island-1873</t>
  </si>
  <si>
    <t>arkhip-kuindzhi_portrait-of-an-unknown-man</t>
  </si>
  <si>
    <t>arkhip-kuindzhi_rainbow-3</t>
  </si>
  <si>
    <t>arkhip-kuindzhi_sea-1</t>
  </si>
  <si>
    <t>arkhip-kuindzhi_sea</t>
  </si>
  <si>
    <t>arkhip-kuindzhi_seashore-1887</t>
  </si>
  <si>
    <t>arkhip-kuindzhi_steppe-in-the-evening</t>
  </si>
  <si>
    <t>arkhip-kuindzhi_the-head-of-a-ukrainian-peasant-in-a-straw-hat</t>
  </si>
  <si>
    <t>arkhip-kuindzhi_the-sea-the-crimea</t>
  </si>
  <si>
    <t>arkhip-kuindzhi_ukrainian-night-1876</t>
  </si>
  <si>
    <t>arkhip-kuindzhi_view-of-the-kremlin-from-the-zamoskvorechye-district-1882</t>
  </si>
  <si>
    <t>arkhip-kuindzhi_waves</t>
  </si>
  <si>
    <t>arthur-segal_still-life-and-a-window-1935</t>
  </si>
  <si>
    <t>arthur-segal_still-life-with-vegetables</t>
  </si>
  <si>
    <t>augustus-john_lady-with-a-mantilla</t>
  </si>
  <si>
    <t>augustus-john_signorina-estella-1900</t>
  </si>
  <si>
    <t>basuki-abdullah_bidadari-mandi</t>
  </si>
  <si>
    <t>basuki-abdullah_cantik</t>
  </si>
  <si>
    <t>basuki-abdullah_in-the-rice-field</t>
  </si>
  <si>
    <t>basuki-abdullah_lake-view</t>
  </si>
  <si>
    <t>basuki-abdullah_portrait-of-a-dancer</t>
  </si>
  <si>
    <t>basuki-abdullah_potret-wanita</t>
  </si>
  <si>
    <t>berthe-morisot_a-young-girl-with-cat</t>
  </si>
  <si>
    <t>boris-kustodiev_akaky-akakiyevich-on-nevsky-prospekt-1905</t>
  </si>
  <si>
    <t>boris-kustodiev_akaky-akakiyevich-returned-from-the-party-1905</t>
  </si>
  <si>
    <t>boris-kustodiev_alexander-murashko-at-work-on-a-collective-picture-of-the-model-statement-in-the-studio-of-ilya-1900</t>
  </si>
  <si>
    <t>boris-kustodiev_at-cradling-archers-walk-1901</t>
  </si>
  <si>
    <t>boris-kustodiev_at-home-1918</t>
  </si>
  <si>
    <t>boris-kustodiev_at-the-icon-of-the-saviour-1910</t>
  </si>
  <si>
    <t>boris-kustodiev_at-the-window-portrait-of-i-b-kustodieva-1910</t>
  </si>
  <si>
    <t>boris-kustodiev_ataman-platov-1924</t>
  </si>
  <si>
    <t>boris-kustodiev_bather-1917</t>
  </si>
  <si>
    <t>boris-kustodiev_bather-1921</t>
  </si>
  <si>
    <t>boris-kustodiev_chairman-of-the-council-of-ministers-i-l-goremykin-1906</t>
  </si>
  <si>
    <t>boris-kustodiev_chief-procurator-of-the-synod-k-pobedonostsev-1906</t>
  </si>
  <si>
    <t>boris-kustodiev_country-fair-1921</t>
  </si>
  <si>
    <t>boris-kustodiev_dunya-in-red-1905</t>
  </si>
  <si>
    <t>boris-kustodiev_exlibris-k-kustodiev-1921</t>
  </si>
  <si>
    <t>boris-kustodiev_festivities-marking-the-opening-of-the-second-congress-of-the-comintern-and-demonstration-on-1921</t>
  </si>
  <si>
    <t>boris-kustodiev_field-with-sheaves-1905</t>
  </si>
  <si>
    <t>boris-kustodiev_finance-minister-sergei-witte-1905</t>
  </si>
  <si>
    <t>boris-kustodiev_finance-minister-v-n-kokovtsoff-1906</t>
  </si>
  <si>
    <t>boris-kustodiev_fire-in-kistenevka-1919</t>
  </si>
  <si>
    <t>boris-kustodiev_fist-fight-on-the-moscow-river-1897</t>
  </si>
  <si>
    <t>boris-kustodiev_from-fishing-1923</t>
  </si>
  <si>
    <t>boris-kustodiev_frost-governor</t>
  </si>
  <si>
    <t>boris-kustodiev_general-of-infantry-christopher-roop-1902</t>
  </si>
  <si>
    <t>boris-kustodiev_generals-1926-1</t>
  </si>
  <si>
    <t>boris-kustodiev_generals-1926</t>
  </si>
  <si>
    <t>boris-kustodiev_girl-with-apples-portrait-of-irina-kustodiyeva</t>
  </si>
  <si>
    <t>boris-kustodiev_group-portrait-of-painters-of-the-world-of-art-1920</t>
  </si>
  <si>
    <t>boris-kustodiev_hang-the-signboard-1922</t>
  </si>
  <si>
    <t>boris-kustodiev_harvester-1924</t>
  </si>
  <si>
    <t>boris-kustodiev_house-in-uspensky-1908</t>
  </si>
  <si>
    <t>boris-kustodiev_illustration-for-nikolay-nekrasov-poem-grandfather-mazay-and-the-hares-1908</t>
  </si>
  <si>
    <t>boris-kustodiev_in-the-room-winter-1915</t>
  </si>
  <si>
    <t>boris-kustodiev_interior-the-female-figure-at-the-window-in-studio-1920</t>
  </si>
  <si>
    <t>boris-kustodiev_konkol-finland-1917</t>
  </si>
  <si>
    <t>boris-kustodiev_lunch-at-troyekurov-1919</t>
  </si>
  <si>
    <t>boris-kustodiev_mason-1924</t>
  </si>
  <si>
    <t>boris-kustodiev_mercahnt-s-wife-1915</t>
  </si>
  <si>
    <t>boris-kustodiev_nude-1920</t>
  </si>
  <si>
    <t>boris-kustodiev_on-the-bridge-the-wife-and-daughter-of-the-artist-1917</t>
  </si>
  <si>
    <t>boris-kustodiev_paris-at-night-1909</t>
  </si>
  <si>
    <t>boris-kustodiev_patcher-breaks-sign-barin-at-the-house-of-patcher-1922</t>
  </si>
  <si>
    <t>boris-kustodiev_petrograd-on-february-1917</t>
  </si>
  <si>
    <t>boris-kustodiev_policeman-1905</t>
  </si>
  <si>
    <t>boris-kustodiev_portrait-of-a-n-protasova-1900</t>
  </si>
  <si>
    <t>boris-kustodiev_portrait-of-a-priest-and-a-deacon-1907</t>
  </si>
  <si>
    <t>boris-kustodiev_portrait-of-a-s-neverov-1926</t>
  </si>
  <si>
    <t>boris-kustodiev_portrait-of-a-singer-i-v-ershov-1905</t>
  </si>
  <si>
    <t>boris-kustodiev_portrait-of-alexander-golovin-1907</t>
  </si>
  <si>
    <t>boris-kustodiev_portrait-of-alexander-pushkin-on-the-neva-embankment-1915</t>
  </si>
  <si>
    <t>boris-kustodiev_portrait-of-an-unknown-woman-1906</t>
  </si>
  <si>
    <t>boris-kustodiev_portrait-of-d-s-stelletsky-at-work-1900</t>
  </si>
  <si>
    <t>boris-kustodiev_portrait-of-e-e-lansere-1913</t>
  </si>
  <si>
    <t>boris-kustodiev_portrait-of-elizabeth-mikhailovna-botkina-1912</t>
  </si>
  <si>
    <t>boris-kustodiev_portrait-of-f-i-chaliapin-1921-1</t>
  </si>
  <si>
    <t>boris-kustodiev_portrait-of-f-k-sologub-1907</t>
  </si>
  <si>
    <t>boris-kustodiev_portrait-of-g-narbut-1914</t>
  </si>
  <si>
    <t>boris-kustodiev_portrait-of-g-s-vereisky-1917-1</t>
  </si>
  <si>
    <t>boris-kustodiev_portrait-of-g-s-vereisky-1917</t>
  </si>
  <si>
    <t>boris-kustodiev_portrait-of-i-b-kustodieva-daughter-of-the-artist-1926</t>
  </si>
  <si>
    <t>boris-kustodiev_portrait-of-i-s-kulikov</t>
  </si>
  <si>
    <t>boris-kustodiev_portrait-of-ilya-repin-1902</t>
  </si>
  <si>
    <t>boris-kustodiev_portrait-of-isaak-izrailevich-brodsky-1920</t>
  </si>
  <si>
    <t>boris-kustodiev_portrait-of-ivan-bilibin-1914</t>
  </si>
  <si>
    <t>boris-kustodiev_portrait-of-ivan-yershov-1922</t>
  </si>
  <si>
    <t>boris-kustodiev_portrait-of-l-p-albrecht</t>
  </si>
  <si>
    <t>boris-kustodiev_portrait-of-l-s-bakst-1910</t>
  </si>
  <si>
    <t>boris-kustodiev_portrait-of-m-i-heylik-1901</t>
  </si>
  <si>
    <t>boris-kustodiev_portrait-of-m-v-dobuzhinsky-at-the-table-1913</t>
  </si>
  <si>
    <t>boris-kustodiev_portrait-of-maria-ryazantseva-1922</t>
  </si>
  <si>
    <t>boris-kustodiev_portrait-of-n-a-kuznetsova-1919</t>
  </si>
  <si>
    <t>boris-kustodiev_portrait-of-n-a-podsosov-1906</t>
  </si>
  <si>
    <t>boris-kustodiev_portrait-of-n-k-von-meck-1913</t>
  </si>
  <si>
    <t>boris-kustodiev_portrait-of-p-i-neradovsky-1922</t>
  </si>
  <si>
    <t>boris-kustodiev_portrait-of-p-n-sakulin-1923</t>
  </si>
  <si>
    <t>boris-kustodiev_portrait-of-p-salomon-1903</t>
  </si>
  <si>
    <t>boris-kustodiev_portrait-of-philip-iv-1904</t>
  </si>
  <si>
    <t>boris-kustodiev_portrait-of-russian-actor-vasily-luzhsky-1913</t>
  </si>
  <si>
    <t>boris-kustodiev_portrait-of-s-n-troinitsky-1922</t>
  </si>
  <si>
    <t>boris-kustodiev_portrait-of-sculptor-n-l-aronson-1904</t>
  </si>
  <si>
    <t>boris-kustodiev_portrait-of-shishanovskaya-1921</t>
  </si>
  <si>
    <t>boris-kustodiev_portrait-of-the-artist-georgi-vereisky-1917</t>
  </si>
  <si>
    <t>boris-kustodiev_portrait-of-the-painter-ivan-bilibin-1901</t>
  </si>
  <si>
    <t>boris-kustodiev_portrait-of-the-writer-d-l-mordovtsev-1901</t>
  </si>
  <si>
    <t>boris-kustodiev_portrait-of-vsevolod-voinov-1921-1</t>
  </si>
  <si>
    <t>boris-kustodiev_portrait-of-vsevolod-voinov-1924</t>
  </si>
  <si>
    <t>boris-kustodiev_portrait-of-y-e-proshinskaya-1901</t>
  </si>
  <si>
    <t>boris-kustodiev_portrait-of-yevgeny-zamyatin-1923</t>
  </si>
  <si>
    <t>boris-kustodiev_portrait-of-z-e-roze</t>
  </si>
  <si>
    <t>boris-kustodiev_revolt-against-the-boyars-in-the-old-russia-1897</t>
  </si>
  <si>
    <t>boris-kustodiev_scetch-for-ostrovsky-s-wolves-and-sheep-1915</t>
  </si>
  <si>
    <t>boris-kustodiev_seated-model-1898</t>
  </si>
  <si>
    <t>boris-kustodiev_self-portrait-1902</t>
  </si>
  <si>
    <t>boris-kustodiev_self-portrait-1914</t>
  </si>
  <si>
    <t>boris-kustodiev_self-portrait-1917</t>
  </si>
  <si>
    <t>boris-kustodiev_self-portrait-with-wife-1918</t>
  </si>
  <si>
    <t>boris-kustodiev_self-portrait</t>
  </si>
  <si>
    <t>boris-kustodiev_still-life-grenades-1910</t>
  </si>
  <si>
    <t>boris-kustodiev_street-in-krutogorsk-1914</t>
  </si>
  <si>
    <t>boris-kustodiev_summer-evening</t>
  </si>
  <si>
    <t>boris-kustodiev_talking-on-the-street-lords-in-the-street-outside-the-house-patcher-1922</t>
  </si>
  <si>
    <t>boris-kustodiev_the-boy-at-the-fence-1915</t>
  </si>
  <si>
    <t>boris-kustodiev_the-head-of-peter-the-great-1910</t>
  </si>
  <si>
    <t>boris-kustodiev_threshing-1908</t>
  </si>
  <si>
    <t>boris-kustodiev_two-portraits-of-annushka-1918</t>
  </si>
  <si>
    <t>boris-kustodiev_urban-landscape-with-troika</t>
  </si>
  <si>
    <t>boris-kustodiev_venice-1907</t>
  </si>
  <si>
    <t>boris-kustodiev_venice-memory-1918</t>
  </si>
  <si>
    <t>boris-kustodiev_venus-1920</t>
  </si>
  <si>
    <t>boris-kustodiev_village-boys-1905</t>
  </si>
  <si>
    <t>boris-kustodiev_village-fair-1920</t>
  </si>
  <si>
    <t>camille-corot_a-cow-and-its-keeper-1872</t>
  </si>
  <si>
    <t>camille-corot_a-farmyard-near-fontainebleau</t>
  </si>
  <si>
    <t>camille-corot_a-ford-with-large-trees</t>
  </si>
  <si>
    <t>camille-corot_a-road-near-arras-cottages</t>
  </si>
  <si>
    <t>camille-corot_algerian-woman</t>
  </si>
  <si>
    <t>camille-corot_ariccia-palazzo-chigi-1826</t>
  </si>
  <si>
    <t>camille-corot_at-civita-castellana-wooded-rocks</t>
  </si>
  <si>
    <t>camille-corot_banks-of-a-river</t>
  </si>
  <si>
    <t>camille-corot_between-lake-geneva-and-the-alps-1825</t>
  </si>
  <si>
    <t>camille-corot_bouquet-of-flowers-in-a-glass-beside-a-tobacco-pot</t>
  </si>
  <si>
    <t>camille-corot_children-beside-a-brook-in-the-countryside-lormes</t>
  </si>
  <si>
    <t>camille-corot_clearing-in-the-bois-pierre-at-eveaux-near-chateau-thiery</t>
  </si>
  <si>
    <t>camille-corot_courtyard-of-a-bakery-near-paris-courtyard-of-a-house-near-paris</t>
  </si>
  <si>
    <t>camille-corot_cow-in-a-stable-also-known-as-the-black-cow</t>
  </si>
  <si>
    <t>camille-corot_cowherd-and-her-child</t>
  </si>
  <si>
    <t>camille-corot_cowherd-by-the-water</t>
  </si>
  <si>
    <t>camille-corot_crecy-en-brie-road-in-the-country</t>
  </si>
  <si>
    <t>camille-corot_cuicy-marsh-near-douai</t>
  </si>
  <si>
    <t>camille-corot_dunkirk-a-fisherwoman-with-shrimp</t>
  </si>
  <si>
    <t>camille-corot_edge-of-a-lake-souvenir-of-italy</t>
  </si>
  <si>
    <t>camille-corot_field-by-a-river-1870</t>
  </si>
  <si>
    <t>camille-corot_figures-in-a-forest</t>
  </si>
  <si>
    <t>camille-corot_fishing-with-nets-1850</t>
  </si>
  <si>
    <t>camille-corot_florence-the-boboli-gardens</t>
  </si>
  <si>
    <t>camille-corot_fontainebleau-black-oaks-of-bas-breau</t>
  </si>
  <si>
    <t>camille-corot_fontainebleau-the-bas-breau-road</t>
  </si>
  <si>
    <t>camille-corot_general-view-of-the-town-of-saint-lo</t>
  </si>
  <si>
    <t>camille-corot_goatherd-charming-his-goat-with-a-flute</t>
  </si>
  <si>
    <t>camille-corot_hamlet-and-the-gravedigger</t>
  </si>
  <si>
    <t>camille-corot_head-of-bearded-man-study-for-the-baptism-of-christ-1845</t>
  </si>
  <si>
    <t>camille-corot_honfleur-fishing-boat</t>
  </si>
  <si>
    <t>camille-corot_jimieges-1831</t>
  </si>
  <si>
    <t>camille-corot_lake-nemi-seen-through-trees-1843</t>
  </si>
  <si>
    <t>camille-corot_landscape-at-castel-gandolfo</t>
  </si>
  <si>
    <t>camille-corot_landscape-with-peasant-girl-1861</t>
  </si>
  <si>
    <t>camille-corot_landscape</t>
  </si>
  <si>
    <t>camille-corot_lonesome-valley-1874</t>
  </si>
  <si>
    <t>camille-corot_mantes-view-of-the-cathedral-and-town-through-the-trees-1869</t>
  </si>
  <si>
    <t>camille-corot_marshy-pastures</t>
  </si>
  <si>
    <t>camille-corot_moret-sur-loing-the-bridge-and-the-church-1822</t>
  </si>
  <si>
    <t>camille-corot_morning-the-dance-of-the-nymphs</t>
  </si>
  <si>
    <t>camille-corot_morning-woman-hearding-cows</t>
  </si>
  <si>
    <t>camille-corot_mount-soracte-1827</t>
  </si>
  <si>
    <t>camille-corot_mur-cotes-du-nord-1855</t>
  </si>
  <si>
    <t>camille-corot_near-rotterdam-1854</t>
  </si>
  <si>
    <t>camille-corot_nest-harriers-in-tuscan-1865</t>
  </si>
  <si>
    <t>camille-corot_on-the-banks-of-the-tiber-1826</t>
  </si>
  <si>
    <t>camille-corot_passiance-in-saint-avit-1872</t>
  </si>
  <si>
    <t>camille-corot_peasants-near-a-village</t>
  </si>
  <si>
    <t>camille-corot_pond-at-ville-d-avray-with-leaning-trees-1873</t>
  </si>
  <si>
    <t>camille-corot_portrait-of-madame-langeron-four-years-old-1845</t>
  </si>
  <si>
    <t>camille-corot_recollections-of-mortefontaine</t>
  </si>
  <si>
    <t>camille-corot_rocks-at-civita-castellana-1827</t>
  </si>
  <si>
    <t>camille-corot_rocks-in-a-glade</t>
  </si>
  <si>
    <t>camille-corot_rome-castle-sant-angelo</t>
  </si>
  <si>
    <t>camille-corot_semur-the-path-from-the-church</t>
  </si>
  <si>
    <t>camille-corot_smugglers</t>
  </si>
  <si>
    <t>camille-corot_soissons-houses-and-factory-of-mr-henry-1833</t>
  </si>
  <si>
    <t>camille-corot_souvenir-of-mortefontaine-1864</t>
  </si>
  <si>
    <t>camille-corot_souvenir-of-riva</t>
  </si>
  <si>
    <t>camille-corot_souvenir-of-the-lake-nemi-region-1865</t>
  </si>
  <si>
    <t>camille-corot_the-arch-of-constantine-and-the-forum-rome-1843</t>
  </si>
  <si>
    <t>camille-corot_the-boatman-left-the-bank-with-a-woman-and-a-child-sitting-in-his-boat-sunset</t>
  </si>
  <si>
    <t>camille-corot_the-bridge-at-grez-sur-loing</t>
  </si>
  <si>
    <t>camille-corot_the-colosseum-seen-through-the-arcades-of-the-basilica-of-constantine-1825</t>
  </si>
  <si>
    <t>camille-corot_the-dreamer-1854</t>
  </si>
  <si>
    <t>camille-corot_the-forest-of-coubron-1872</t>
  </si>
  <si>
    <t>camille-corot_the-goat-herd-of-genzano-1843</t>
  </si>
  <si>
    <t>camille-corot_the-lac-de-nemi</t>
  </si>
  <si>
    <t>camille-corot_the-mill-in-the-trees</t>
  </si>
  <si>
    <t>camille-corot_the-piper-at-lake-albano</t>
  </si>
  <si>
    <t>camille-corot_the-pond-at-ville-d-avray-1860</t>
  </si>
  <si>
    <t>camille-corot_the-port-of-la-rochelle-1851</t>
  </si>
  <si>
    <t>camille-corot_the-tiber-near-rome-1828</t>
  </si>
  <si>
    <t>camille-corot_trinita-dei-monti-from-the-villa-medici</t>
  </si>
  <si>
    <t>camille-corot_two-italians-an-old-man-and-a-young-boy</t>
  </si>
  <si>
    <t>camille-corot_venice-gondola-on-grand-canal</t>
  </si>
  <si>
    <t>camille-corot_view-at-riva-italian-tyrol-1834</t>
  </si>
  <si>
    <t>camille-corot_view-from-the-farnese-gardens-rome-1826</t>
  </si>
  <si>
    <t>camille-corot_view-of-genoa-1834</t>
  </si>
  <si>
    <t>camille-corot_view-of-saint-lo-with-the-river-vire-in-the-foreground</t>
  </si>
  <si>
    <t>camille-corot_view-of-the-colosseum-from-the-farnese-gardens-1826</t>
  </si>
  <si>
    <t>camille-corot_view-of-the-grand-canal-venice-from-the-riva-degli-schiavone-1828</t>
  </si>
  <si>
    <t>camille-corot_view-of-the-roman-compagna-1826</t>
  </si>
  <si>
    <t>camille-corot_ville-d-avray-1870-1</t>
  </si>
  <si>
    <t>camille-corot_ville-d-avray-1870</t>
  </si>
  <si>
    <t>camille-corot_ville-d-avray-cowherd-in-a-clearing-near-a-pond-1872</t>
  </si>
  <si>
    <t>camille-corot_ville-d-avray-horses-watering</t>
  </si>
  <si>
    <t>camille-corot_ville-d-avray-the-chemin-de-corot</t>
  </si>
  <si>
    <t>camille-corot_volterra-1834</t>
  </si>
  <si>
    <t>camille-corot_willows-and-farmhouses-at-saint-catherine-les-arras-1871</t>
  </si>
  <si>
    <t>camille-corot_young-girl-seated-in-a-meadow-1865</t>
  </si>
  <si>
    <t>camille-pissarro_a-creek-in-saint-thomas-antilles-1856</t>
  </si>
  <si>
    <t>camille-pissarro_a-square-in-la-roche-guyon</t>
  </si>
  <si>
    <t>camille-pissarro_antilian-landscape-st-thomas-1856</t>
  </si>
  <si>
    <t>camille-pissarro_apple-trees-at-pontoise-1868</t>
  </si>
  <si>
    <t>camille-pissarro_banks-of-a-river-with-barge</t>
  </si>
  <si>
    <t>camille-pissarro_donkey-ride-at-la-roche-guyon</t>
  </si>
  <si>
    <t>camille-pissarro_entering-a-village</t>
  </si>
  <si>
    <t>camille-pissarro_farmyard</t>
  </si>
  <si>
    <t>camille-pissarro_landscape-at-louveciennes</t>
  </si>
  <si>
    <t>camille-pissarro_mountain-landscape-at-saint-thomas-antilles-unfinished</t>
  </si>
  <si>
    <t>camille-pissarro_peasant-working-in-the-fields</t>
  </si>
  <si>
    <t>camille-pissarro_the-froggybog-at-bougival-1869</t>
  </si>
  <si>
    <t>camille-pissarro_the-gardens-of-l-hermitage-pontoise</t>
  </si>
  <si>
    <t>camille-pissarro_the-railway-bridge-pontoise</t>
  </si>
  <si>
    <t>camille-pissarro_the-versailles-road-at-louveciennes-1869</t>
  </si>
  <si>
    <t>camille-pissarro_the-wood-cart</t>
  </si>
  <si>
    <t>camille-pissarro_two-woman-chatting-by-the-sea-st-thomas-1856</t>
  </si>
  <si>
    <t>camille-pissarro_view-of-marly-le-roi-1870</t>
  </si>
  <si>
    <t>camille-pissarro_view-of-pontoise-quai-au-pothuis-1868</t>
  </si>
  <si>
    <t>camille-pissarro_village-church</t>
  </si>
  <si>
    <t>carl-bloch_christian-ii-imprisoned-in-the-tower-at-s-nderborg-castle-1871</t>
  </si>
  <si>
    <t>charles-demuth_eggplant-and-tomatoes-1926</t>
  </si>
  <si>
    <t>charles-francois-daubigny_boats-on-the-oise-1865</t>
  </si>
  <si>
    <t>charles-francois-daubigny_castle-gaillard-in-andelys-eure-1877</t>
  </si>
  <si>
    <t>charles-francois-daubigny_cattle-on-the-bank-of-the-river-1872</t>
  </si>
  <si>
    <t>charles-francois-daubigny_french-river-scene-1871</t>
  </si>
  <si>
    <t>charles-francois-daubigny_landscape-trees-on-the-slope-of-a-ravine</t>
  </si>
  <si>
    <t>charles-francois-daubigny_le-ru-de-valmondois</t>
  </si>
  <si>
    <t>charles-francois-daubigny_riverbank-in-moonlight-1875</t>
  </si>
  <si>
    <t>charles-francois-daubigny_sunset-lower-meudon-1869</t>
  </si>
  <si>
    <t>charles-francois-daubigny_the-banks-of-the-oise(1)</t>
  </si>
  <si>
    <t>charles-francois-daubigny_the-banks-of-the-river-1863</t>
  </si>
  <si>
    <t>charles-francois-daubigny_the-banks-of-the-river-1868</t>
  </si>
  <si>
    <t>charles-francois-daubigny_the-harvest-1851</t>
  </si>
  <si>
    <t>charles-francois-daubigny_the-mill-of-the-gylieu-1868</t>
  </si>
  <si>
    <t>charles-francois-daubigny_the-river-seine-at-mantes</t>
  </si>
  <si>
    <t>charles-francois-daubigny_the-seine-in-bezons-val-d-oise-1851</t>
  </si>
  <si>
    <t>charles-francois-daubigny_the-themse-in-erith-1866</t>
  </si>
  <si>
    <t>charles-francois-daubigny_the-woods-and-creek</t>
  </si>
  <si>
    <t>charles-francois-daubigny_young-corn(1)</t>
  </si>
  <si>
    <t>charles-hermans_the-onion-sellers</t>
  </si>
  <si>
    <t>charles-sheeler_criss-crossed-conveyors-river-rouge-plant-ford-motor-company-1927</t>
  </si>
  <si>
    <t>charles-sheeler_the-open-door-1932</t>
  </si>
  <si>
    <t>charles-sheeler_upper-deck-1928</t>
  </si>
  <si>
    <t>claude-monet_a-farmyard-in-normandy(1)</t>
  </si>
  <si>
    <t>claude-monet_portrait-of-madame-gaudibert</t>
  </si>
  <si>
    <t>claude-monet_the-luncheon</t>
  </si>
  <si>
    <t>claude-monet_view-at-rouelles-le-havre</t>
  </si>
  <si>
    <t>columbano-bordalo-pinheiro_auto-retrato-1904</t>
  </si>
  <si>
    <t>columbano-bordalo-pinheiro_bulh-o-pato-1883</t>
  </si>
  <si>
    <t>constant-troyon_approaching-storm</t>
  </si>
  <si>
    <t>constant-troyon_calf-cows-at-the-marl</t>
  </si>
  <si>
    <t>constant-troyon_cow-chased-by-a-dog</t>
  </si>
  <si>
    <t>constant-troyon_cows-at-the-watering-1855</t>
  </si>
  <si>
    <t>constant-troyon_goose-girl</t>
  </si>
  <si>
    <t>constant-troyon_pastoral-scene</t>
  </si>
  <si>
    <t>constant-troyon_plowing</t>
  </si>
  <si>
    <t>constant-troyon_returning-from-pasture</t>
  </si>
  <si>
    <t>constantin-artachino_acareturi</t>
  </si>
  <si>
    <t>constantin-artachino_street-in-turtucaia</t>
  </si>
  <si>
    <t>constantin-guys_girls-on-the-balcony-1860</t>
  </si>
  <si>
    <t>constantin-guys_portrait-2-1865</t>
  </si>
  <si>
    <t>constantin-stahi_plums-1911</t>
  </si>
  <si>
    <t>constantin-stahi_plums-at-the-edge-of-the-table-1905</t>
  </si>
  <si>
    <t>constantin-stahi_still-life-with-fruit-1916</t>
  </si>
  <si>
    <t>constantin-stahi_still-life-with-strawberries-1905</t>
  </si>
  <si>
    <t>constantin-stahi_still-life-with-watermelons-1912</t>
  </si>
  <si>
    <t>constantin-stahi_watermelons-1907</t>
  </si>
  <si>
    <t>david-burliuk_a-draft-for-embroidery-peonies-1937</t>
  </si>
  <si>
    <t>david-burliuk_a-lakeshore-1953</t>
  </si>
  <si>
    <t>david-burliuk_fishing-boat-rockport</t>
  </si>
  <si>
    <t>david-burliuk_florida-1948</t>
  </si>
  <si>
    <t>david-burliuk_landscape-near-kingston</t>
  </si>
  <si>
    <t>david-burliuk_still-life-with-industry-1932(1)</t>
  </si>
  <si>
    <t>david-burliuk_summer-meadow(4)</t>
  </si>
  <si>
    <t>edgar-degas_a-roman-beggar-woman-1857</t>
  </si>
  <si>
    <t>edgar-degas_josephine-gaujean-1868</t>
  </si>
  <si>
    <t>edouard-manet_a-corner-of-the-garden-in-rueil-1882</t>
  </si>
  <si>
    <t>edouard-manet_eel-and-red-mullet-1864</t>
  </si>
  <si>
    <t>edouard-manet_jesus-mocked-by-the-soldiers-1865</t>
  </si>
  <si>
    <t>edouard-manet_oysters-1862</t>
  </si>
  <si>
    <t>edouard-manet_portrait-of-eva-gonzales-1870</t>
  </si>
  <si>
    <t>edouard-manet_portrait-of-irma-brunner</t>
  </si>
  <si>
    <t>edouard-manet_portrait-of-madame-julles-guillemet</t>
  </si>
  <si>
    <t>edouard-manet_roses-in-a-champagne-glass</t>
  </si>
  <si>
    <t>edouard-manet_sketch-of-moving-farmer</t>
  </si>
  <si>
    <t>edouard-manet_still-life-fruits-on-a-table-1864(1)</t>
  </si>
  <si>
    <t>edouard-manet_still-life-with-brioche</t>
  </si>
  <si>
    <t>edouard-manet_study-to-dead-christ-with-angels-1864</t>
  </si>
  <si>
    <t>edouard-manet_the-bullfight-1864</t>
  </si>
  <si>
    <t>edouard-manet_the-burial</t>
  </si>
  <si>
    <t>edouard-manet_the-execution-of-the-emperor-maximilian-of-mexico-1868</t>
  </si>
  <si>
    <t>edouard-manet_the-exposition-universelle-1867</t>
  </si>
  <si>
    <t>edouard-manet_the-garden-around-manet-s-house</t>
  </si>
  <si>
    <t>edouard-manet_the-lemon-1880</t>
  </si>
  <si>
    <t>edouard-manet_the-races-in-the-bois-de-boulogne-1872</t>
  </si>
  <si>
    <t>edouard-manet_the-spanish-ballet-1862</t>
  </si>
  <si>
    <t>edouard-manet_two-roses-on-a-tablecloth</t>
  </si>
  <si>
    <t>edouard-manet_victorine-meurent-in-the-costume-of-an-espada-1862</t>
  </si>
  <si>
    <t>edouard-manet_young-woman-with-a-book-1875</t>
  </si>
  <si>
    <t>edvard-munch_landscape-maridalen-by-oslo-1881</t>
  </si>
  <si>
    <t>efim-volkov_autumn</t>
  </si>
  <si>
    <t>efim-volkov_cell</t>
  </si>
  <si>
    <t>efim-volkov_field-of-daisies</t>
  </si>
  <si>
    <t>efim-volkov_grazing</t>
  </si>
  <si>
    <t>efim-volkov_october</t>
  </si>
  <si>
    <t>efim-volkov_river-in-ukraine</t>
  </si>
  <si>
    <t>efim-volkov_rural-landscape</t>
  </si>
  <si>
    <t>efim-volkov_seascape</t>
  </si>
  <si>
    <t>efim-volkov_the-sea</t>
  </si>
  <si>
    <t>emile-claus_the-cock-fight-1882</t>
  </si>
  <si>
    <t>eugene-boudin_a-hen-and-her-chicks-after-melchior-d-hondecoeter</t>
  </si>
  <si>
    <t>eugene-boudin_approaching-storm-1864</t>
  </si>
  <si>
    <t>eugene-boudin_beach-scene-trouville-1863-1</t>
  </si>
  <si>
    <t>eugene-boudin_cattle-market-at-daoulas-brittany-1861</t>
  </si>
  <si>
    <t>eugene-boudin_deauville-low-tide</t>
  </si>
  <si>
    <t>eugene-boudin_fine-weather-on-the-estuary</t>
  </si>
  <si>
    <t>eugene-boudin_laundresses-on-the-banks-of-the-touques-11</t>
  </si>
  <si>
    <t>eugene-boudin_low-tide-near-honfleur</t>
  </si>
  <si>
    <t>eugene-boudin_not_detected_246183</t>
  </si>
  <si>
    <t>eugene-boudin_park-cordieres-a-trouville-1873</t>
  </si>
  <si>
    <t>eugene-boudin_seascape-with-large-sky-1860</t>
  </si>
  <si>
    <t>eugene-boudin_spray-of-flowers-hollyhocks-1858</t>
  </si>
  <si>
    <t>eugene-boudin_the-francois-ier-tower-at-le-havre-1852</t>
  </si>
  <si>
    <t>eugene-boudin_the-port-portrieux-1873</t>
  </si>
  <si>
    <t>eugene-boudin_the-port-portrieux-at-low-tide</t>
  </si>
  <si>
    <t>eugene-boudin_view-from-the-camaret-heights-1873</t>
  </si>
  <si>
    <t>eugene-boudin_white-clouds-blue-sky</t>
  </si>
  <si>
    <t>felix-vallotton_martello-tower-in-guernsey-1907</t>
  </si>
  <si>
    <t>felix-vallotton_seated-black-woman-front-view-1911</t>
  </si>
  <si>
    <t>felix-vallotton_woman-with-a-black-hat-1908</t>
  </si>
  <si>
    <t>ferdinand-hodler_olive-trees-in-spain-1878</t>
  </si>
  <si>
    <t>ferdinand-hodler_on-the-banks-of-the-manzanares-1878</t>
  </si>
  <si>
    <t>ferdinand-hodler_the-black-lutschina-1905</t>
  </si>
  <si>
    <t>ferdinand-hodler_the-reaper</t>
  </si>
  <si>
    <t>ferdinand-hodler_the-road-to-a-particular-interest-1890</t>
  </si>
  <si>
    <t>ferdinand-hodler_the-shoemaker-1878</t>
  </si>
  <si>
    <t>ferdinand-hodler_the-student-self-portrait</t>
  </si>
  <si>
    <t>fernand-khnopff_portrait-of-jeanne-kefer-1885</t>
  </si>
  <si>
    <t>frederic-remington_the-broncho-buster-1909</t>
  </si>
  <si>
    <t>fyodor-vasilyev_at-the-river-windy-day</t>
  </si>
  <si>
    <t>fyodor-vasilyev_at-the-sink</t>
  </si>
  <si>
    <t>fyodor-vasilyev_bank-of-the-volga-after-the-storm</t>
  </si>
  <si>
    <t>fyodor-vasilyev_barges-near-the-bank</t>
  </si>
  <si>
    <t>fyodor-vasilyev_barges-on-volga</t>
  </si>
  <si>
    <t>fyodor-vasilyev_barns</t>
  </si>
  <si>
    <t>fyodor-vasilyev_before-a-thunderstorm-1869</t>
  </si>
  <si>
    <t>fyodor-vasilyev_before-a-thunderstorm</t>
  </si>
  <si>
    <t>fyodor-vasilyev_brook-in-a-forest</t>
  </si>
  <si>
    <t>fyodor-vasilyev_cloud-study</t>
  </si>
  <si>
    <t>fyodor-vasilyev_cloud</t>
  </si>
  <si>
    <t>fyodor-vasilyev_evening</t>
  </si>
  <si>
    <t>fyodor-vasilyev_hot-summer-day</t>
  </si>
  <si>
    <t>fyodor-vasilyev_in-an-oak-grove</t>
  </si>
  <si>
    <t>fyodor-vasilyev_in-the-crimea-after-a-rain-1873</t>
  </si>
  <si>
    <t>fyodor-vasilyev_landscape-with-clouds</t>
  </si>
  <si>
    <t>fyodor-vasilyev_landscape-with-peasant-s-huts-and-pond-near-st-petersburg-1871</t>
  </si>
  <si>
    <t>fyodor-vasilyev_lombardy-poplars-on-the-bank-of-a-lake-evening</t>
  </si>
  <si>
    <t>fyodor-vasilyev_morning-1873-1</t>
  </si>
  <si>
    <t>fyodor-vasilyev_near-a-church-valaam</t>
  </si>
  <si>
    <t>fyodor-vasilyev_near-krasnoye-selo</t>
  </si>
  <si>
    <t>fyodor-vasilyev_peasants-with-a-boat-on-a-sandy-beach</t>
  </si>
  <si>
    <t>fyodor-vasilyev_pine-grove-in-the-swamp-1873</t>
  </si>
  <si>
    <t>fyodor-vasilyev_pond-at-the-sunset</t>
  </si>
  <si>
    <t>fyodor-vasilyev_return-of-the-herd</t>
  </si>
  <si>
    <t>fyodor-vasilyev_summer-hot-day</t>
  </si>
  <si>
    <t>george-catlin_h-tchoo-t-c-knee-snapping-turtle-a-half-breed-1834</t>
  </si>
  <si>
    <t>georgios-jakobides_old-lady-with-scar-on-her-cheek</t>
  </si>
  <si>
    <t>giovanni-boldini_diego-martielli-in-castiglioncello</t>
  </si>
  <si>
    <t>giovanni-boldini_duke-marlborough-singer-sargent-and-family</t>
  </si>
  <si>
    <t>giovanni-boldini_french-painter-henri-de-toulouse-lautrec</t>
  </si>
  <si>
    <t>giovanni-boldini_from-robilant-and-voena</t>
  </si>
  <si>
    <t>giovanni-boldini_lady-colin-campbell-1897</t>
  </si>
  <si>
    <t>giovanni-boldini_madame-michelham-1913</t>
  </si>
  <si>
    <t>giovanni-boldini_miss-bell-1903</t>
  </si>
  <si>
    <t>giovanni-boldini_the-countess-ritzer</t>
  </si>
  <si>
    <t>giovanni-boldini_the-gardeners-of-the-veil-picard</t>
  </si>
  <si>
    <t>gregoire-boonzaier_still-life-with-teapot-1930</t>
  </si>
  <si>
    <t>gustave-courbet_bouquet-of-flowers</t>
  </si>
  <si>
    <t>gustave-courbet_branch-of-apple-blossoms-1871</t>
  </si>
  <si>
    <t>gustave-courbet_landscape</t>
  </si>
  <si>
    <t>gustave-courbet_marine-les-equilleurs</t>
  </si>
  <si>
    <t>gustave-courbet_paysage-guyere-1876</t>
  </si>
  <si>
    <t>gustave-courbet_poachers-in-the-snow-1867</t>
  </si>
  <si>
    <t>gustave-courbet_riverside</t>
  </si>
  <si>
    <t>gustave-courbet_rocks-at-mouthier</t>
  </si>
  <si>
    <t>gustave-courbet_seascape-1866</t>
  </si>
  <si>
    <t>gustave-courbet_snow-landscape-in-jura-1866</t>
  </si>
  <si>
    <t>gustave-courbet_still-life-with-apples-and-pomegranates</t>
  </si>
  <si>
    <t>gustave-courbet_still-life-with-pears-and-apples</t>
  </si>
  <si>
    <t>gustave-courbet_the-approaching-storm</t>
  </si>
  <si>
    <t>gustave-courbet_the-wave-1870</t>
  </si>
  <si>
    <t>gustave-courbet_the-wave-1871</t>
  </si>
  <si>
    <t>henri-fantin-latour_asters-and-fruit-on-a-table-1868</t>
  </si>
  <si>
    <t>henri-fantin-latour_autumn-flowers-1861</t>
  </si>
  <si>
    <t>henri-fantin-latour_basket-of-flowers-1892</t>
  </si>
  <si>
    <t>henri-fantin-latour_basket-of-roses-1880</t>
  </si>
  <si>
    <t>henri-fantin-latour_bowl-of-peaches-1869</t>
  </si>
  <si>
    <t>henri-fantin-latour_bowl-of-roses-1889</t>
  </si>
  <si>
    <t>henri-fantin-latour_carnations-1</t>
  </si>
  <si>
    <t>henri-fantin-latour_carnations</t>
  </si>
  <si>
    <t>henri-fantin-latour_chrysanthemums-1877</t>
  </si>
  <si>
    <t>henri-fantin-latour_chrysanthemums-1889</t>
  </si>
  <si>
    <t>henri-fantin-latour_dahlias-1872</t>
  </si>
  <si>
    <t>henri-fantin-latour_dahlias-1873</t>
  </si>
  <si>
    <t>henri-fantin-latour_dahlias-queens-daisies-roses-and-corn-flowers</t>
  </si>
  <si>
    <t>henri-fantin-latour_daisies-1872</t>
  </si>
  <si>
    <t>henri-fantin-latour_dark-roses-on-light-background-1891</t>
  </si>
  <si>
    <t>henri-fantin-latour_flowers-1</t>
  </si>
  <si>
    <t>henri-fantin-latour_flowers-1863</t>
  </si>
  <si>
    <t>henri-fantin-latour_flowers-and-fruit-1865</t>
  </si>
  <si>
    <t>henri-fantin-latour_flowers-dahlias-and-gladiolas-1879</t>
  </si>
  <si>
    <t>henri-fantin-latour_flowers-in-a-bowl-1886</t>
  </si>
  <si>
    <t>henri-fantin-latour_flowers-roses-1883</t>
  </si>
  <si>
    <t>henri-fantin-latour_flowers-white-roses-1871</t>
  </si>
  <si>
    <t>henri-fantin-latour_gladiolas-and-roses-1881</t>
  </si>
  <si>
    <t>henri-fantin-latour_large-bouquet-of-crysanthemums-1873</t>
  </si>
  <si>
    <t>henri-fantin-latour_large-vase-of-dahlias-and-assorted-flowers-1875</t>
  </si>
  <si>
    <t>henri-fantin-latour_lilacs-1872</t>
  </si>
  <si>
    <t>henri-fantin-latour_pansies</t>
  </si>
  <si>
    <t>henri-fantin-latour_peaches-and-grapes-1896</t>
  </si>
  <si>
    <t>henri-fantin-latour_peonies-in-a-vase-1864</t>
  </si>
  <si>
    <t>henri-fantin-latour_plate-of-fruit-1880</t>
  </si>
  <si>
    <t>henri-fantin-latour_roses-1884</t>
  </si>
  <si>
    <t>henri-fantin-latour_roses-1887</t>
  </si>
  <si>
    <t>henri-fantin-latour_roses-1891</t>
  </si>
  <si>
    <t>henri-fantin-latour_roses-3</t>
  </si>
  <si>
    <t>henri-fantin-latour_roses-4</t>
  </si>
  <si>
    <t>henri-fantin-latour_roses-5</t>
  </si>
  <si>
    <t>henri-fantin-latour_roses-and-clematis-1883</t>
  </si>
  <si>
    <t>henri-fantin-latour_roses-and-nasturtiums</t>
  </si>
  <si>
    <t>henri-fantin-latour_roses-in-a-basket-on-a-table-1876</t>
  </si>
  <si>
    <t>henri-fantin-latour_roses-in-a-bowl-1883</t>
  </si>
  <si>
    <t>henri-fantin-latour_roses-in-a-stemmed-glass-1890</t>
  </si>
  <si>
    <t>henri-fantin-latour_roses-in-a-vase-1884</t>
  </si>
  <si>
    <t>henri-fantin-latour_roses-in-a-vase-1892</t>
  </si>
  <si>
    <t>henri-fantin-latour_roses-in-a-white-porcelin-vase-1874</t>
  </si>
  <si>
    <t>henri-fantin-latour_roses</t>
  </si>
  <si>
    <t>henri-fantin-latour_still-life-1866</t>
  </si>
  <si>
    <t>henri-fantin-latour_still-life-impatiens-peaches-and-apricots</t>
  </si>
  <si>
    <t>henri-fantin-latour_still-life-of-four-peaches-1862</t>
  </si>
  <si>
    <t>henri-fantin-latour_still-life-with-flowers-1881</t>
  </si>
  <si>
    <t>henri-fantin-latour_still-life-with-pansies-1874</t>
  </si>
  <si>
    <t>henri-fantin-latour_vase-with-apples-and-foliage-1878</t>
  </si>
  <si>
    <t>henri-fantin-latour_white-carnations-1904</t>
  </si>
  <si>
    <t>henri-fantin-latour_white-phlox-summer-chrysanthemum-and-larkspur</t>
  </si>
  <si>
    <t>henri-fantin-latour_white-roses-in-a-green-vase-1871</t>
  </si>
  <si>
    <t>henri-fantin-latour_yellow-and-red-roses-1879</t>
  </si>
  <si>
    <t>henri-fantin-latour_yellow-flowers-also-known-as-coucous-1873</t>
  </si>
  <si>
    <t>henri-fantin-latour_zinnias-in-a-vase-1880</t>
  </si>
  <si>
    <t>neutral</t>
  </si>
  <si>
    <t>SUM OF EMOTIONS</t>
  </si>
  <si>
    <t>NUMBER OF EMOTIONS LEFT</t>
  </si>
  <si>
    <t/>
  </si>
  <si>
    <t>TOTAL</t>
  </si>
  <si>
    <t>done</t>
  </si>
  <si>
    <t>m</t>
  </si>
  <si>
    <t>n</t>
  </si>
  <si>
    <t>p(a)</t>
  </si>
  <si>
    <t>p(3)</t>
  </si>
  <si>
    <t>kappa</t>
  </si>
  <si>
    <t>s.e</t>
  </si>
  <si>
    <t>z</t>
  </si>
  <si>
    <t>p-value</t>
  </si>
  <si>
    <t>CALCULATION</t>
  </si>
  <si>
    <t># of annotators</t>
  </si>
  <si>
    <t># of paintings</t>
  </si>
  <si>
    <t>q</t>
  </si>
  <si>
    <t>b</t>
  </si>
  <si>
    <t>k</t>
  </si>
  <si>
    <t>p</t>
  </si>
  <si>
    <t>anticipatin</t>
  </si>
  <si>
    <t>may something wrong pa, will fix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</si>
</sst>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/>
    <xf numFmtId="164" fontId="0" fillId="0" borderId="0" xfId="0" applyNumberFormat="1"/>
    <xf numFmtId="0" fontId="1" fillId="8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7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</cellXfs>
  <cellStyles count="1">
    <cellStyle name="Normal" xfId="0" builtinId="0"/>
  </cellStyles>
  <dxfs count="8">
    <dxf>
      <fill>
        <patternFill>
          <bgColor theme="5" tint="0.79998168889431442"/>
        </patternFill>
      </fill>
    </dxf>
    <dxf>
      <fill>
        <patternFill>
          <bgColor theme="7" tint="0.39994506668294322"/>
        </patternFill>
      </fill>
    </dxf>
    <dxf>
      <fill>
        <patternFill patternType="solid">
          <bgColor theme="7" tint="0.59996337778862885"/>
        </patternFill>
      </fill>
    </dxf>
    <dxf>
      <fill>
        <patternFill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37</xdr:row>
          <xdr:rowOff>0</xdr:rowOff>
        </xdr:from>
        <xdr:to>
          <xdr:col>28</xdr:col>
          <xdr:colOff>0</xdr:colOff>
          <xdr:row>39</xdr:row>
          <xdr:rowOff>0</xdr:rowOff>
        </xdr:to>
        <xdr:sp macro="" textlink="">
          <xdr:nvSpPr>
            <xdr:cNvPr id="1028" name="CalculateNumb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7675F-9028-4B09-A562-E5243A719FA4}">
  <sheetPr codeName="Sheet1"/>
  <dimension ref="B1:AP637"/>
  <sheetViews>
    <sheetView tabSelected="1" topLeftCell="A358" zoomScale="70" zoomScaleNormal="70" workbookViewId="0">
      <selection activeCell="AC502" sqref="AC502"/>
    </sheetView>
  </sheetViews>
  <sheetFormatPr defaultRowHeight="15" x14ac:dyDescent="0.25"/>
  <cols>
    <col min="3" max="7" width="18.28515625" customWidth="1"/>
    <col min="10" max="10" width="9.5703125" customWidth="1"/>
    <col min="11" max="11" width="9.140625" customWidth="1"/>
    <col min="12" max="20" width="18.28515625" customWidth="1"/>
    <col min="21" max="21" width="9.140625" customWidth="1"/>
    <col min="25" max="25" width="18.28515625" customWidth="1"/>
    <col min="28" max="30" width="18.28515625" customWidth="1"/>
    <col min="34" max="34" width="9.140625" customWidth="1"/>
  </cols>
  <sheetData>
    <row r="1" spans="2:32" x14ac:dyDescent="0.25">
      <c r="D1" s="2"/>
      <c r="E1" s="3" t="s">
        <v>9</v>
      </c>
      <c r="F1" s="3"/>
      <c r="P1" s="6" t="s">
        <v>11</v>
      </c>
      <c r="V1" s="20" t="s">
        <v>14</v>
      </c>
      <c r="W1" s="20"/>
    </row>
    <row r="2" spans="2:32" x14ac:dyDescent="0.25">
      <c r="B2" s="1" t="s">
        <v>10</v>
      </c>
      <c r="C2" s="4">
        <v>1</v>
      </c>
      <c r="D2" s="25">
        <v>2</v>
      </c>
      <c r="E2" s="4">
        <v>3</v>
      </c>
      <c r="F2" s="25">
        <v>4</v>
      </c>
      <c r="G2" s="4">
        <v>5</v>
      </c>
      <c r="J2" s="15"/>
      <c r="K2" s="1" t="s">
        <v>10</v>
      </c>
      <c r="L2" s="7" t="s">
        <v>3</v>
      </c>
      <c r="M2" s="7" t="s">
        <v>1</v>
      </c>
      <c r="N2" s="7" t="s">
        <v>6</v>
      </c>
      <c r="O2" s="7" t="s">
        <v>7</v>
      </c>
      <c r="P2" s="7" t="s">
        <v>5</v>
      </c>
      <c r="Q2" s="7" t="s">
        <v>0</v>
      </c>
      <c r="R2" s="7" t="s">
        <v>4</v>
      </c>
      <c r="S2" s="7" t="s">
        <v>8</v>
      </c>
      <c r="T2" s="7" t="s">
        <v>2</v>
      </c>
      <c r="V2" s="9" t="s">
        <v>12</v>
      </c>
      <c r="W2" s="9" t="s">
        <v>13</v>
      </c>
      <c r="Y2" s="12" t="s">
        <v>11</v>
      </c>
      <c r="AB2" s="21" t="s">
        <v>652</v>
      </c>
      <c r="AC2" s="21"/>
      <c r="AD2" s="21"/>
      <c r="AF2" t="s">
        <v>655</v>
      </c>
    </row>
    <row r="3" spans="2:32" x14ac:dyDescent="0.25">
      <c r="B3" s="5">
        <v>1</v>
      </c>
      <c r="C3" t="s">
        <v>0</v>
      </c>
      <c r="D3" t="s">
        <v>0</v>
      </c>
      <c r="E3" t="s">
        <v>2</v>
      </c>
      <c r="F3" t="s">
        <v>0</v>
      </c>
      <c r="G3" t="s">
        <v>3</v>
      </c>
      <c r="J3" s="15">
        <v>1</v>
      </c>
      <c r="K3" s="5">
        <v>1</v>
      </c>
      <c r="L3" s="8">
        <f t="shared" ref="L3:L5" si="0">COUNTIFS(C3:G3, "joy")</f>
        <v>1</v>
      </c>
      <c r="M3" s="8">
        <f t="shared" ref="M3:M5" si="1">COUNTIFS(C3:G3, "trust")</f>
        <v>0</v>
      </c>
      <c r="N3" s="8">
        <f t="shared" ref="N3:N5" si="2">COUNTIFS(C3:G3, "fear")</f>
        <v>0</v>
      </c>
      <c r="O3" s="8">
        <f t="shared" ref="O3:O5" si="3">COUNTIFS(C3:G3, "surprise")</f>
        <v>0</v>
      </c>
      <c r="P3" s="8">
        <f t="shared" ref="P3:P5" si="4">COUNTIFS(C3:G3, "sadness")</f>
        <v>0</v>
      </c>
      <c r="Q3" s="8">
        <f t="shared" ref="Q3:Q5" si="5">COUNTIFS(C3:G3, "disgust")</f>
        <v>3</v>
      </c>
      <c r="R3" s="8">
        <f t="shared" ref="R3:R5" si="6">COUNTIFS(C3:G3, "anger")</f>
        <v>0</v>
      </c>
      <c r="S3" s="8">
        <f t="shared" ref="S3:S5" si="7">COUNTIFS(C3:G3, "anticipation")</f>
        <v>0</v>
      </c>
      <c r="T3" s="8">
        <f t="shared" ref="T3:T5" si="8">COUNTIFS(C3:G3, "AMBIGUOUS")</f>
        <v>1</v>
      </c>
      <c r="V3" s="8">
        <f>MAX(L3:T3)</f>
        <v>3</v>
      </c>
      <c r="W3">
        <f>COUNTIF(L3:T3, "=" &amp; V3)</f>
        <v>1</v>
      </c>
      <c r="Y3" t="str">
        <f>INDEX($L$2:$T$2,MATCH(MAX(L3:T3),L3:T3,0))</f>
        <v>disgust</v>
      </c>
      <c r="AF3">
        <f>SUM(AB5,AD5,AB8,AD8,AB11,AD11,AD14,AB14,AC17)</f>
        <v>635</v>
      </c>
    </row>
    <row r="4" spans="2:32" x14ac:dyDescent="0.25">
      <c r="B4" s="5">
        <v>2</v>
      </c>
      <c r="C4" t="s">
        <v>0</v>
      </c>
      <c r="D4" t="s">
        <v>3</v>
      </c>
      <c r="E4" t="s">
        <v>2</v>
      </c>
      <c r="F4" t="s">
        <v>3</v>
      </c>
      <c r="G4" t="s">
        <v>3</v>
      </c>
      <c r="J4" s="15">
        <v>1</v>
      </c>
      <c r="K4" s="5">
        <v>2</v>
      </c>
      <c r="L4" s="8">
        <f t="shared" si="0"/>
        <v>3</v>
      </c>
      <c r="M4" s="8">
        <f t="shared" si="1"/>
        <v>0</v>
      </c>
      <c r="N4" s="8">
        <f t="shared" si="2"/>
        <v>0</v>
      </c>
      <c r="O4" s="8">
        <f t="shared" si="3"/>
        <v>0</v>
      </c>
      <c r="P4" s="8">
        <f t="shared" si="4"/>
        <v>0</v>
      </c>
      <c r="Q4" s="8">
        <f t="shared" si="5"/>
        <v>1</v>
      </c>
      <c r="R4" s="8">
        <f t="shared" si="6"/>
        <v>0</v>
      </c>
      <c r="S4" s="8">
        <f t="shared" si="7"/>
        <v>0</v>
      </c>
      <c r="T4" s="8">
        <f t="shared" si="8"/>
        <v>1</v>
      </c>
      <c r="V4" s="8">
        <f t="shared" ref="V4:V67" si="9">MAX(L4:T4)</f>
        <v>3</v>
      </c>
      <c r="W4">
        <f t="shared" ref="W4:W67" si="10">COUNTIF(L4:T4, "=" &amp; V4)</f>
        <v>1</v>
      </c>
      <c r="Y4" t="str">
        <f t="shared" ref="Y4:Y67" si="11">INDEX($L$2:$T$2,MATCH(MAX(L4:T4),L4:T4,0))</f>
        <v>joy</v>
      </c>
      <c r="AB4" s="6" t="s">
        <v>3</v>
      </c>
      <c r="AD4" s="6" t="s">
        <v>6</v>
      </c>
    </row>
    <row r="5" spans="2:32" x14ac:dyDescent="0.25">
      <c r="B5" s="5">
        <v>3</v>
      </c>
      <c r="C5" t="s">
        <v>1</v>
      </c>
      <c r="D5" t="s">
        <v>5</v>
      </c>
      <c r="E5" t="s">
        <v>2</v>
      </c>
      <c r="F5" t="s">
        <v>5</v>
      </c>
      <c r="G5" t="s">
        <v>5</v>
      </c>
      <c r="J5" s="15">
        <v>1</v>
      </c>
      <c r="K5" s="5">
        <v>3</v>
      </c>
      <c r="L5" s="8">
        <f t="shared" si="0"/>
        <v>0</v>
      </c>
      <c r="M5" s="8">
        <f t="shared" si="1"/>
        <v>1</v>
      </c>
      <c r="N5" s="8">
        <f t="shared" si="2"/>
        <v>0</v>
      </c>
      <c r="O5" s="8">
        <f t="shared" si="3"/>
        <v>0</v>
      </c>
      <c r="P5" s="8">
        <f t="shared" si="4"/>
        <v>3</v>
      </c>
      <c r="Q5" s="8">
        <f t="shared" si="5"/>
        <v>0</v>
      </c>
      <c r="R5" s="8">
        <f t="shared" si="6"/>
        <v>0</v>
      </c>
      <c r="S5" s="8">
        <f t="shared" si="7"/>
        <v>0</v>
      </c>
      <c r="T5" s="8">
        <f t="shared" si="8"/>
        <v>1</v>
      </c>
      <c r="V5" s="8">
        <f t="shared" si="9"/>
        <v>3</v>
      </c>
      <c r="W5">
        <f t="shared" si="10"/>
        <v>1</v>
      </c>
      <c r="Y5" t="str">
        <f>INDEX($L$2:$T$2,MATCH(MAX(L5:T5),L5:T5,0))</f>
        <v>sadness</v>
      </c>
      <c r="AB5" s="14">
        <f>'Output Summary'!F5</f>
        <v>275</v>
      </c>
      <c r="AD5" s="14">
        <f>'Output Summary'!H5</f>
        <v>43</v>
      </c>
    </row>
    <row r="6" spans="2:32" x14ac:dyDescent="0.25">
      <c r="B6" s="5">
        <v>4</v>
      </c>
      <c r="C6" t="s">
        <v>2</v>
      </c>
      <c r="D6" t="s">
        <v>2</v>
      </c>
      <c r="E6" t="s">
        <v>2</v>
      </c>
      <c r="F6" t="s">
        <v>2</v>
      </c>
      <c r="G6" t="s">
        <v>3</v>
      </c>
      <c r="J6" s="15" t="s">
        <v>654</v>
      </c>
      <c r="K6" s="5">
        <v>4</v>
      </c>
      <c r="L6" s="8">
        <f t="shared" ref="L6:L9" si="12">COUNTIFS(C6:G6, "joy")</f>
        <v>1</v>
      </c>
      <c r="M6" s="8">
        <f t="shared" ref="M6:M9" si="13">COUNTIFS(C6:G6, "trust")</f>
        <v>0</v>
      </c>
      <c r="N6" s="8">
        <f t="shared" ref="N6:N9" si="14">COUNTIFS(C6:G6, "fear")</f>
        <v>0</v>
      </c>
      <c r="O6" s="8">
        <f t="shared" ref="O6:O9" si="15">COUNTIFS(C6:G6, "surprise")</f>
        <v>0</v>
      </c>
      <c r="P6" s="8">
        <f t="shared" ref="P6:P9" si="16">COUNTIFS(C6:G6, "sadness")</f>
        <v>0</v>
      </c>
      <c r="Q6" s="8">
        <f t="shared" ref="Q6:Q9" si="17">COUNTIFS(C6:G6, "disgust")</f>
        <v>0</v>
      </c>
      <c r="R6" s="8">
        <f t="shared" ref="R6:R9" si="18">COUNTIFS(C6:G6, "anger")</f>
        <v>0</v>
      </c>
      <c r="S6" s="8">
        <f t="shared" ref="S6:S9" si="19">COUNTIFS(C6:G6, "anticipation")</f>
        <v>0</v>
      </c>
      <c r="T6" s="8">
        <f t="shared" ref="T6:T9" si="20">COUNTIFS(C6:G6, "AMBIGUOUS")</f>
        <v>4</v>
      </c>
      <c r="V6" s="8">
        <f t="shared" si="9"/>
        <v>4</v>
      </c>
      <c r="W6">
        <f t="shared" si="10"/>
        <v>1</v>
      </c>
      <c r="Y6" t="str">
        <f t="shared" si="11"/>
        <v>AMBIGUOUS</v>
      </c>
    </row>
    <row r="7" spans="2:32" x14ac:dyDescent="0.25">
      <c r="B7" s="5">
        <v>5</v>
      </c>
      <c r="C7" t="s">
        <v>3</v>
      </c>
      <c r="D7" t="s">
        <v>3</v>
      </c>
      <c r="E7" t="s">
        <v>3</v>
      </c>
      <c r="F7" t="s">
        <v>3</v>
      </c>
      <c r="G7" t="s">
        <v>3</v>
      </c>
      <c r="J7" s="15" t="s">
        <v>654</v>
      </c>
      <c r="K7" s="5">
        <v>5</v>
      </c>
      <c r="L7" s="8">
        <f t="shared" si="12"/>
        <v>5</v>
      </c>
      <c r="M7" s="8">
        <f t="shared" si="13"/>
        <v>0</v>
      </c>
      <c r="N7" s="8">
        <f t="shared" si="14"/>
        <v>0</v>
      </c>
      <c r="O7" s="8">
        <f t="shared" si="15"/>
        <v>0</v>
      </c>
      <c r="P7" s="8">
        <f t="shared" si="16"/>
        <v>0</v>
      </c>
      <c r="Q7" s="8">
        <f t="shared" si="17"/>
        <v>0</v>
      </c>
      <c r="R7" s="8">
        <f t="shared" si="18"/>
        <v>0</v>
      </c>
      <c r="S7" s="8">
        <f t="shared" si="19"/>
        <v>0</v>
      </c>
      <c r="T7" s="8">
        <f t="shared" si="20"/>
        <v>0</v>
      </c>
      <c r="V7" s="8">
        <f t="shared" si="9"/>
        <v>5</v>
      </c>
      <c r="W7">
        <f t="shared" si="10"/>
        <v>1</v>
      </c>
      <c r="Y7" t="str">
        <f t="shared" si="11"/>
        <v>joy</v>
      </c>
      <c r="AB7" s="6" t="s">
        <v>1</v>
      </c>
      <c r="AD7" s="6" t="s">
        <v>5</v>
      </c>
    </row>
    <row r="8" spans="2:32" x14ac:dyDescent="0.25">
      <c r="B8" s="5">
        <v>6</v>
      </c>
      <c r="C8" t="s">
        <v>1</v>
      </c>
      <c r="D8" t="s">
        <v>0</v>
      </c>
      <c r="E8" t="s">
        <v>0</v>
      </c>
      <c r="F8" t="s">
        <v>0</v>
      </c>
      <c r="G8" t="s">
        <v>3</v>
      </c>
      <c r="J8" s="15">
        <v>1</v>
      </c>
      <c r="K8" s="5">
        <v>6</v>
      </c>
      <c r="L8" s="8">
        <f t="shared" si="12"/>
        <v>1</v>
      </c>
      <c r="M8" s="8">
        <f t="shared" si="13"/>
        <v>1</v>
      </c>
      <c r="N8" s="8">
        <f t="shared" si="14"/>
        <v>0</v>
      </c>
      <c r="O8" s="8">
        <f t="shared" si="15"/>
        <v>0</v>
      </c>
      <c r="P8" s="8">
        <f t="shared" si="16"/>
        <v>0</v>
      </c>
      <c r="Q8" s="8">
        <f t="shared" si="17"/>
        <v>3</v>
      </c>
      <c r="R8" s="8">
        <f t="shared" si="18"/>
        <v>0</v>
      </c>
      <c r="S8" s="8">
        <f t="shared" si="19"/>
        <v>0</v>
      </c>
      <c r="T8" s="8">
        <f t="shared" si="20"/>
        <v>0</v>
      </c>
      <c r="V8" s="8">
        <f t="shared" si="9"/>
        <v>3</v>
      </c>
      <c r="W8">
        <f t="shared" si="10"/>
        <v>1</v>
      </c>
      <c r="Y8" t="str">
        <f t="shared" si="11"/>
        <v>disgust</v>
      </c>
      <c r="AB8" s="14">
        <f>'Output Summary'!F8</f>
        <v>92</v>
      </c>
      <c r="AD8" s="14">
        <f>'Output Summary'!H8</f>
        <v>82</v>
      </c>
    </row>
    <row r="9" spans="2:32" x14ac:dyDescent="0.25">
      <c r="B9" s="5">
        <v>7</v>
      </c>
      <c r="C9" t="s">
        <v>1</v>
      </c>
      <c r="D9" t="s">
        <v>3</v>
      </c>
      <c r="E9" t="s">
        <v>3</v>
      </c>
      <c r="F9" t="s">
        <v>3</v>
      </c>
      <c r="G9" t="s">
        <v>3</v>
      </c>
      <c r="J9" s="15" t="s">
        <v>654</v>
      </c>
      <c r="K9" s="5">
        <v>7</v>
      </c>
      <c r="L9" s="8">
        <f t="shared" si="12"/>
        <v>4</v>
      </c>
      <c r="M9" s="8">
        <f t="shared" si="13"/>
        <v>1</v>
      </c>
      <c r="N9" s="8">
        <f t="shared" si="14"/>
        <v>0</v>
      </c>
      <c r="O9" s="8">
        <f t="shared" si="15"/>
        <v>0</v>
      </c>
      <c r="P9" s="8">
        <f t="shared" si="16"/>
        <v>0</v>
      </c>
      <c r="Q9" s="8">
        <f t="shared" si="17"/>
        <v>0</v>
      </c>
      <c r="R9" s="8">
        <f t="shared" si="18"/>
        <v>0</v>
      </c>
      <c r="S9" s="8">
        <f t="shared" si="19"/>
        <v>0</v>
      </c>
      <c r="T9" s="8">
        <f t="shared" si="20"/>
        <v>0</v>
      </c>
      <c r="V9" s="8">
        <f t="shared" si="9"/>
        <v>4</v>
      </c>
      <c r="W9">
        <f t="shared" si="10"/>
        <v>1</v>
      </c>
      <c r="Y9" t="str">
        <f t="shared" si="11"/>
        <v>joy</v>
      </c>
    </row>
    <row r="10" spans="2:32" x14ac:dyDescent="0.25">
      <c r="B10" s="5">
        <v>8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J10" s="15" t="s">
        <v>654</v>
      </c>
      <c r="K10" s="5">
        <v>8</v>
      </c>
      <c r="L10" s="8">
        <f t="shared" ref="L10:L27" si="21">COUNTIFS(C10:G10, "joy")</f>
        <v>0</v>
      </c>
      <c r="M10" s="8">
        <f t="shared" ref="M10:M27" si="22">COUNTIFS(C10:G10, "trust")</f>
        <v>0</v>
      </c>
      <c r="N10" s="8">
        <f t="shared" ref="N10:N27" si="23">COUNTIFS(C10:G10, "fear")</f>
        <v>0</v>
      </c>
      <c r="O10" s="8">
        <f t="shared" ref="O10:O27" si="24">COUNTIFS(C10:G10, "surprise")</f>
        <v>0</v>
      </c>
      <c r="P10" s="8">
        <f t="shared" ref="P10:P27" si="25">COUNTIFS(C10:G10, "sadness")</f>
        <v>0</v>
      </c>
      <c r="Q10" s="8">
        <f t="shared" ref="Q10:Q27" si="26">COUNTIFS(C10:G10, "disgust")</f>
        <v>0</v>
      </c>
      <c r="R10" s="8">
        <f t="shared" ref="R10:R27" si="27">COUNTIFS(C10:G10, "anger")</f>
        <v>0</v>
      </c>
      <c r="S10" s="8">
        <f t="shared" ref="S10:S27" si="28">COUNTIFS(C10:G10, "anticipation")</f>
        <v>0</v>
      </c>
      <c r="T10" s="8">
        <f t="shared" ref="T10:T27" si="29">COUNTIFS(C10:G10, "AMBIGUOUS")</f>
        <v>5</v>
      </c>
      <c r="V10" s="8">
        <f t="shared" si="9"/>
        <v>5</v>
      </c>
      <c r="W10">
        <f t="shared" si="10"/>
        <v>1</v>
      </c>
      <c r="Y10" t="str">
        <f t="shared" si="11"/>
        <v>AMBIGUOUS</v>
      </c>
      <c r="AB10" s="6" t="s">
        <v>7</v>
      </c>
      <c r="AD10" s="6" t="s">
        <v>4</v>
      </c>
    </row>
    <row r="11" spans="2:32" x14ac:dyDescent="0.25">
      <c r="B11" s="5">
        <v>9</v>
      </c>
      <c r="C11" t="s">
        <v>4</v>
      </c>
      <c r="D11" t="s">
        <v>2</v>
      </c>
      <c r="E11" t="s">
        <v>1</v>
      </c>
      <c r="F11" t="s">
        <v>2</v>
      </c>
      <c r="G11" t="s">
        <v>2</v>
      </c>
      <c r="J11" s="15">
        <v>1</v>
      </c>
      <c r="K11" s="5">
        <v>9</v>
      </c>
      <c r="L11" s="8">
        <f t="shared" si="21"/>
        <v>0</v>
      </c>
      <c r="M11" s="8">
        <f t="shared" si="22"/>
        <v>1</v>
      </c>
      <c r="N11" s="8">
        <f t="shared" si="23"/>
        <v>0</v>
      </c>
      <c r="O11" s="8">
        <f t="shared" si="24"/>
        <v>0</v>
      </c>
      <c r="P11" s="8">
        <f t="shared" si="25"/>
        <v>0</v>
      </c>
      <c r="Q11" s="8">
        <f t="shared" si="26"/>
        <v>0</v>
      </c>
      <c r="R11" s="8">
        <f t="shared" si="27"/>
        <v>1</v>
      </c>
      <c r="S11" s="8">
        <f t="shared" si="28"/>
        <v>0</v>
      </c>
      <c r="T11" s="8">
        <f t="shared" si="29"/>
        <v>3</v>
      </c>
      <c r="V11" s="8">
        <f t="shared" si="9"/>
        <v>3</v>
      </c>
      <c r="W11">
        <f t="shared" si="10"/>
        <v>1</v>
      </c>
      <c r="Y11" t="str">
        <f t="shared" si="11"/>
        <v>AMBIGUOUS</v>
      </c>
      <c r="AB11" s="14">
        <f>'Output Summary'!F11</f>
        <v>14</v>
      </c>
      <c r="AD11" s="14">
        <f>'Output Summary'!H11</f>
        <v>15</v>
      </c>
    </row>
    <row r="12" spans="2:32" x14ac:dyDescent="0.25">
      <c r="B12" s="5">
        <v>10</v>
      </c>
      <c r="C12" t="s">
        <v>3</v>
      </c>
      <c r="D12" t="s">
        <v>2</v>
      </c>
      <c r="E12" t="s">
        <v>2</v>
      </c>
      <c r="F12" t="s">
        <v>2</v>
      </c>
      <c r="G12" t="s">
        <v>2</v>
      </c>
      <c r="J12" s="15" t="s">
        <v>654</v>
      </c>
      <c r="K12" s="5">
        <v>10</v>
      </c>
      <c r="L12" s="8">
        <f t="shared" si="21"/>
        <v>1</v>
      </c>
      <c r="M12" s="8">
        <f t="shared" si="22"/>
        <v>0</v>
      </c>
      <c r="N12" s="8">
        <f t="shared" si="23"/>
        <v>0</v>
      </c>
      <c r="O12" s="8">
        <f t="shared" si="24"/>
        <v>0</v>
      </c>
      <c r="P12" s="8">
        <f t="shared" si="25"/>
        <v>0</v>
      </c>
      <c r="Q12" s="8">
        <f t="shared" si="26"/>
        <v>0</v>
      </c>
      <c r="R12" s="8">
        <f t="shared" si="27"/>
        <v>0</v>
      </c>
      <c r="S12" s="8">
        <f t="shared" si="28"/>
        <v>0</v>
      </c>
      <c r="T12" s="8">
        <f t="shared" si="29"/>
        <v>4</v>
      </c>
      <c r="V12" s="8">
        <f t="shared" si="9"/>
        <v>4</v>
      </c>
      <c r="W12">
        <f t="shared" si="10"/>
        <v>1</v>
      </c>
      <c r="Y12" t="str">
        <f t="shared" si="11"/>
        <v>AMBIGUOUS</v>
      </c>
    </row>
    <row r="13" spans="2:32" x14ac:dyDescent="0.25">
      <c r="B13" s="5">
        <v>11</v>
      </c>
      <c r="C13" t="s">
        <v>0</v>
      </c>
      <c r="D13" t="s">
        <v>0</v>
      </c>
      <c r="E13" t="s">
        <v>1</v>
      </c>
      <c r="F13" t="s">
        <v>0</v>
      </c>
      <c r="G13" t="s">
        <v>0</v>
      </c>
      <c r="J13" s="15" t="s">
        <v>654</v>
      </c>
      <c r="K13" s="5">
        <v>11</v>
      </c>
      <c r="L13" s="8">
        <f t="shared" ref="L13:L56" si="30">COUNTIFS(C13:G13, "joy")</f>
        <v>0</v>
      </c>
      <c r="M13" s="8">
        <f t="shared" ref="M13:M56" si="31">COUNTIFS(C13:G13, "trust")</f>
        <v>1</v>
      </c>
      <c r="N13" s="8">
        <f t="shared" ref="N13:N56" si="32">COUNTIFS(C13:G13, "fear")</f>
        <v>0</v>
      </c>
      <c r="O13" s="8">
        <f t="shared" ref="O13:O56" si="33">COUNTIFS(C13:G13, "surprise")</f>
        <v>0</v>
      </c>
      <c r="P13" s="8">
        <f t="shared" ref="P13:P56" si="34">COUNTIFS(C13:G13, "sadness")</f>
        <v>0</v>
      </c>
      <c r="Q13" s="8">
        <f t="shared" ref="Q13:Q56" si="35">COUNTIFS(C13:G13, "disgust")</f>
        <v>4</v>
      </c>
      <c r="R13" s="8">
        <f t="shared" ref="R13:R56" si="36">COUNTIFS(C13:G13, "anger")</f>
        <v>0</v>
      </c>
      <c r="S13" s="8">
        <f t="shared" ref="S13:S56" si="37">COUNTIFS(C13:G13, "anticipation")</f>
        <v>0</v>
      </c>
      <c r="T13" s="8">
        <f t="shared" ref="T13:T56" si="38">COUNTIFS(C13:G13, "AMBIGUOUS")</f>
        <v>0</v>
      </c>
      <c r="V13" s="8">
        <f t="shared" si="9"/>
        <v>4</v>
      </c>
      <c r="W13">
        <f t="shared" si="10"/>
        <v>1</v>
      </c>
      <c r="Y13" t="str">
        <f t="shared" si="11"/>
        <v>disgust</v>
      </c>
      <c r="AB13" s="6" t="s">
        <v>8</v>
      </c>
      <c r="AD13" s="6" t="s">
        <v>0</v>
      </c>
    </row>
    <row r="14" spans="2:32" x14ac:dyDescent="0.25">
      <c r="B14" s="5">
        <v>12</v>
      </c>
      <c r="C14" t="s">
        <v>1</v>
      </c>
      <c r="D14" t="s">
        <v>3</v>
      </c>
      <c r="E14" t="s">
        <v>2</v>
      </c>
      <c r="F14" t="s">
        <v>3</v>
      </c>
      <c r="G14" t="s">
        <v>3</v>
      </c>
      <c r="J14" s="15">
        <v>1</v>
      </c>
      <c r="K14" s="5">
        <v>12</v>
      </c>
      <c r="L14" s="8">
        <f t="shared" si="30"/>
        <v>3</v>
      </c>
      <c r="M14" s="8">
        <f t="shared" si="31"/>
        <v>1</v>
      </c>
      <c r="N14" s="8">
        <f t="shared" si="32"/>
        <v>0</v>
      </c>
      <c r="O14" s="8">
        <f t="shared" si="33"/>
        <v>0</v>
      </c>
      <c r="P14" s="8">
        <f t="shared" si="34"/>
        <v>0</v>
      </c>
      <c r="Q14" s="8">
        <f t="shared" si="35"/>
        <v>0</v>
      </c>
      <c r="R14" s="8">
        <f t="shared" si="36"/>
        <v>0</v>
      </c>
      <c r="S14" s="8">
        <f t="shared" si="37"/>
        <v>0</v>
      </c>
      <c r="T14" s="8">
        <f t="shared" si="38"/>
        <v>1</v>
      </c>
      <c r="V14" s="8">
        <f t="shared" si="9"/>
        <v>3</v>
      </c>
      <c r="W14">
        <f t="shared" si="10"/>
        <v>1</v>
      </c>
      <c r="Y14" t="str">
        <f t="shared" si="11"/>
        <v>joy</v>
      </c>
      <c r="AB14" s="14">
        <f>'Output Summary'!F14</f>
        <v>38</v>
      </c>
      <c r="AD14" s="14">
        <f>'Output Summary'!H14</f>
        <v>22</v>
      </c>
    </row>
    <row r="15" spans="2:32" x14ac:dyDescent="0.25">
      <c r="B15" s="5">
        <v>13</v>
      </c>
      <c r="C15" t="s">
        <v>1</v>
      </c>
      <c r="D15" t="s">
        <v>1</v>
      </c>
      <c r="E15" t="s">
        <v>3</v>
      </c>
      <c r="F15" t="s">
        <v>1</v>
      </c>
      <c r="G15" t="s">
        <v>6</v>
      </c>
      <c r="J15" s="15">
        <v>1</v>
      </c>
      <c r="K15" s="5">
        <v>13</v>
      </c>
      <c r="L15" s="8">
        <f t="shared" si="30"/>
        <v>1</v>
      </c>
      <c r="M15" s="8">
        <f t="shared" si="31"/>
        <v>3</v>
      </c>
      <c r="N15" s="8">
        <f t="shared" si="32"/>
        <v>1</v>
      </c>
      <c r="O15" s="8">
        <f t="shared" si="33"/>
        <v>0</v>
      </c>
      <c r="P15" s="8">
        <f t="shared" si="34"/>
        <v>0</v>
      </c>
      <c r="Q15" s="8">
        <f t="shared" si="35"/>
        <v>0</v>
      </c>
      <c r="R15" s="8">
        <f t="shared" si="36"/>
        <v>0</v>
      </c>
      <c r="S15" s="8">
        <f t="shared" si="37"/>
        <v>0</v>
      </c>
      <c r="T15" s="8">
        <f t="shared" si="38"/>
        <v>0</v>
      </c>
      <c r="V15" s="8">
        <f t="shared" si="9"/>
        <v>3</v>
      </c>
      <c r="W15">
        <f t="shared" si="10"/>
        <v>1</v>
      </c>
      <c r="Y15" t="str">
        <f t="shared" si="11"/>
        <v>trust</v>
      </c>
    </row>
    <row r="16" spans="2:32" x14ac:dyDescent="0.25">
      <c r="B16" s="5">
        <v>14</v>
      </c>
      <c r="C16" t="s">
        <v>2</v>
      </c>
      <c r="D16" t="s">
        <v>5</v>
      </c>
      <c r="E16" t="s">
        <v>5</v>
      </c>
      <c r="F16" t="s">
        <v>5</v>
      </c>
      <c r="G16" t="s">
        <v>3</v>
      </c>
      <c r="J16" s="15">
        <v>1</v>
      </c>
      <c r="K16" s="5">
        <v>14</v>
      </c>
      <c r="L16" s="8">
        <f t="shared" si="30"/>
        <v>1</v>
      </c>
      <c r="M16" s="8">
        <f t="shared" si="31"/>
        <v>0</v>
      </c>
      <c r="N16" s="8">
        <f t="shared" si="32"/>
        <v>0</v>
      </c>
      <c r="O16" s="8">
        <f t="shared" si="33"/>
        <v>0</v>
      </c>
      <c r="P16" s="8">
        <f t="shared" si="34"/>
        <v>3</v>
      </c>
      <c r="Q16" s="8">
        <f t="shared" si="35"/>
        <v>0</v>
      </c>
      <c r="R16" s="8">
        <f t="shared" si="36"/>
        <v>0</v>
      </c>
      <c r="S16" s="8">
        <f t="shared" si="37"/>
        <v>0</v>
      </c>
      <c r="T16" s="8">
        <f t="shared" si="38"/>
        <v>1</v>
      </c>
      <c r="V16" s="8">
        <f t="shared" si="9"/>
        <v>3</v>
      </c>
      <c r="W16">
        <f t="shared" si="10"/>
        <v>1</v>
      </c>
      <c r="Y16" t="str">
        <f t="shared" si="11"/>
        <v>sadness</v>
      </c>
      <c r="AC16" s="6" t="s">
        <v>651</v>
      </c>
    </row>
    <row r="17" spans="2:41" x14ac:dyDescent="0.25">
      <c r="B17" s="5">
        <v>15</v>
      </c>
      <c r="C17" t="s">
        <v>5</v>
      </c>
      <c r="D17" t="s">
        <v>5</v>
      </c>
      <c r="E17" t="s">
        <v>5</v>
      </c>
      <c r="F17" t="s">
        <v>5</v>
      </c>
      <c r="G17" t="s">
        <v>3</v>
      </c>
      <c r="J17" s="15" t="s">
        <v>654</v>
      </c>
      <c r="K17" s="5">
        <v>15</v>
      </c>
      <c r="L17" s="8">
        <f t="shared" si="30"/>
        <v>1</v>
      </c>
      <c r="M17" s="8">
        <f t="shared" si="31"/>
        <v>0</v>
      </c>
      <c r="N17" s="8">
        <f t="shared" si="32"/>
        <v>0</v>
      </c>
      <c r="O17" s="8">
        <f t="shared" si="33"/>
        <v>0</v>
      </c>
      <c r="P17" s="8">
        <f t="shared" si="34"/>
        <v>4</v>
      </c>
      <c r="Q17" s="8">
        <f t="shared" si="35"/>
        <v>0</v>
      </c>
      <c r="R17" s="8">
        <f t="shared" si="36"/>
        <v>0</v>
      </c>
      <c r="S17" s="8">
        <f t="shared" si="37"/>
        <v>0</v>
      </c>
      <c r="T17" s="8">
        <f t="shared" si="38"/>
        <v>0</v>
      </c>
      <c r="V17" s="8">
        <f t="shared" si="9"/>
        <v>4</v>
      </c>
      <c r="W17">
        <f t="shared" si="10"/>
        <v>1</v>
      </c>
      <c r="Y17" t="str">
        <f t="shared" si="11"/>
        <v>sadness</v>
      </c>
      <c r="AC17" s="14">
        <f>'Output Summary'!G17</f>
        <v>54</v>
      </c>
      <c r="AF17" t="str">
        <f>IF(V18=1, 1, "")</f>
        <v/>
      </c>
    </row>
    <row r="18" spans="2:41" x14ac:dyDescent="0.25">
      <c r="B18" s="5">
        <v>16</v>
      </c>
      <c r="C18" t="s">
        <v>5</v>
      </c>
      <c r="D18" t="s">
        <v>5</v>
      </c>
      <c r="E18" t="s">
        <v>2</v>
      </c>
      <c r="F18" t="s">
        <v>5</v>
      </c>
      <c r="G18" t="s">
        <v>5</v>
      </c>
      <c r="J18" s="15" t="s">
        <v>654</v>
      </c>
      <c r="K18" s="5">
        <v>16</v>
      </c>
      <c r="L18" s="8">
        <f t="shared" si="30"/>
        <v>0</v>
      </c>
      <c r="M18" s="8">
        <f t="shared" si="31"/>
        <v>0</v>
      </c>
      <c r="N18" s="8">
        <f t="shared" si="32"/>
        <v>0</v>
      </c>
      <c r="O18" s="8">
        <f t="shared" si="33"/>
        <v>0</v>
      </c>
      <c r="P18" s="8">
        <f t="shared" si="34"/>
        <v>4</v>
      </c>
      <c r="Q18" s="8">
        <f t="shared" si="35"/>
        <v>0</v>
      </c>
      <c r="R18" s="8">
        <f t="shared" si="36"/>
        <v>0</v>
      </c>
      <c r="S18" s="8">
        <f t="shared" si="37"/>
        <v>0</v>
      </c>
      <c r="T18" s="8">
        <f t="shared" si="38"/>
        <v>1</v>
      </c>
      <c r="V18" s="8">
        <f t="shared" si="9"/>
        <v>4</v>
      </c>
      <c r="W18">
        <f t="shared" si="10"/>
        <v>1</v>
      </c>
      <c r="Y18" t="str">
        <f t="shared" si="11"/>
        <v>sadness</v>
      </c>
    </row>
    <row r="19" spans="2:41" x14ac:dyDescent="0.25">
      <c r="B19" s="5">
        <v>17</v>
      </c>
      <c r="C19" t="s">
        <v>5</v>
      </c>
      <c r="D19" t="s">
        <v>5</v>
      </c>
      <c r="E19" t="s">
        <v>2</v>
      </c>
      <c r="F19" t="s">
        <v>5</v>
      </c>
      <c r="G19" t="s">
        <v>3</v>
      </c>
      <c r="J19" s="15">
        <v>1</v>
      </c>
      <c r="K19" s="5">
        <v>17</v>
      </c>
      <c r="L19" s="8">
        <f t="shared" si="30"/>
        <v>1</v>
      </c>
      <c r="M19" s="8">
        <f t="shared" si="31"/>
        <v>0</v>
      </c>
      <c r="N19" s="8">
        <f t="shared" si="32"/>
        <v>0</v>
      </c>
      <c r="O19" s="8">
        <f t="shared" si="33"/>
        <v>0</v>
      </c>
      <c r="P19" s="8">
        <f t="shared" si="34"/>
        <v>3</v>
      </c>
      <c r="Q19" s="8">
        <f t="shared" si="35"/>
        <v>0</v>
      </c>
      <c r="R19" s="8">
        <f t="shared" si="36"/>
        <v>0</v>
      </c>
      <c r="S19" s="8">
        <f t="shared" si="37"/>
        <v>0</v>
      </c>
      <c r="T19" s="8">
        <f t="shared" si="38"/>
        <v>1</v>
      </c>
      <c r="V19" s="8">
        <f t="shared" si="9"/>
        <v>3</v>
      </c>
      <c r="W19">
        <f t="shared" si="10"/>
        <v>1</v>
      </c>
      <c r="Y19" t="str">
        <f t="shared" si="11"/>
        <v>sadness</v>
      </c>
    </row>
    <row r="20" spans="2:41" x14ac:dyDescent="0.25">
      <c r="B20" s="5">
        <v>18</v>
      </c>
      <c r="C20" t="s">
        <v>5</v>
      </c>
      <c r="D20" t="s">
        <v>6</v>
      </c>
      <c r="E20" t="s">
        <v>6</v>
      </c>
      <c r="F20" t="s">
        <v>6</v>
      </c>
      <c r="G20" t="s">
        <v>3</v>
      </c>
      <c r="J20" s="15">
        <v>1</v>
      </c>
      <c r="K20" s="5">
        <v>18</v>
      </c>
      <c r="L20" s="8">
        <f t="shared" si="30"/>
        <v>1</v>
      </c>
      <c r="M20" s="8">
        <f t="shared" si="31"/>
        <v>0</v>
      </c>
      <c r="N20" s="8">
        <f t="shared" si="32"/>
        <v>3</v>
      </c>
      <c r="O20" s="8">
        <f t="shared" si="33"/>
        <v>0</v>
      </c>
      <c r="P20" s="8">
        <f t="shared" si="34"/>
        <v>1</v>
      </c>
      <c r="Q20" s="8">
        <f t="shared" si="35"/>
        <v>0</v>
      </c>
      <c r="R20" s="8">
        <f t="shared" si="36"/>
        <v>0</v>
      </c>
      <c r="S20" s="8">
        <f t="shared" si="37"/>
        <v>0</v>
      </c>
      <c r="T20" s="8">
        <f t="shared" si="38"/>
        <v>0</v>
      </c>
      <c r="V20" s="8">
        <f t="shared" si="9"/>
        <v>3</v>
      </c>
      <c r="W20">
        <f t="shared" si="10"/>
        <v>1</v>
      </c>
      <c r="Y20" t="str">
        <f t="shared" si="11"/>
        <v>fear</v>
      </c>
      <c r="AB20" s="22" t="s">
        <v>653</v>
      </c>
      <c r="AC20" s="22"/>
      <c r="AD20" s="22"/>
      <c r="AF20" s="23" t="s">
        <v>665</v>
      </c>
      <c r="AG20" s="23"/>
      <c r="AH20" s="23"/>
    </row>
    <row r="21" spans="2:41" x14ac:dyDescent="0.25">
      <c r="B21" s="5">
        <v>19</v>
      </c>
      <c r="C21" t="s">
        <v>6</v>
      </c>
      <c r="D21" t="s">
        <v>6</v>
      </c>
      <c r="E21" t="s">
        <v>2</v>
      </c>
      <c r="F21" t="s">
        <v>6</v>
      </c>
      <c r="G21" t="s">
        <v>6</v>
      </c>
      <c r="J21" s="15" t="s">
        <v>654</v>
      </c>
      <c r="K21" s="5">
        <v>19</v>
      </c>
      <c r="L21" s="8">
        <f t="shared" si="30"/>
        <v>0</v>
      </c>
      <c r="M21" s="8">
        <f t="shared" si="31"/>
        <v>0</v>
      </c>
      <c r="N21" s="8">
        <f t="shared" si="32"/>
        <v>4</v>
      </c>
      <c r="O21" s="8">
        <f t="shared" si="33"/>
        <v>0</v>
      </c>
      <c r="P21" s="8">
        <f t="shared" si="34"/>
        <v>0</v>
      </c>
      <c r="Q21" s="8">
        <f t="shared" si="35"/>
        <v>0</v>
      </c>
      <c r="R21" s="8">
        <f t="shared" si="36"/>
        <v>0</v>
      </c>
      <c r="S21" s="8">
        <f t="shared" si="37"/>
        <v>0</v>
      </c>
      <c r="T21" s="8">
        <f t="shared" si="38"/>
        <v>1</v>
      </c>
      <c r="V21" s="8">
        <f t="shared" si="9"/>
        <v>4</v>
      </c>
      <c r="W21">
        <f t="shared" si="10"/>
        <v>1</v>
      </c>
      <c r="Y21" t="str">
        <f t="shared" si="11"/>
        <v>fear</v>
      </c>
    </row>
    <row r="22" spans="2:41" x14ac:dyDescent="0.25">
      <c r="B22" s="5">
        <v>20</v>
      </c>
      <c r="C22" t="s">
        <v>7</v>
      </c>
      <c r="D22" t="s">
        <v>2</v>
      </c>
      <c r="E22" t="s">
        <v>2</v>
      </c>
      <c r="F22" t="s">
        <v>2</v>
      </c>
      <c r="G22" t="s">
        <v>3</v>
      </c>
      <c r="J22" s="15">
        <v>1</v>
      </c>
      <c r="K22" s="5">
        <v>20</v>
      </c>
      <c r="L22" s="8">
        <f t="shared" si="30"/>
        <v>1</v>
      </c>
      <c r="M22" s="8">
        <f t="shared" si="31"/>
        <v>0</v>
      </c>
      <c r="N22" s="8">
        <f t="shared" si="32"/>
        <v>0</v>
      </c>
      <c r="O22" s="8">
        <f t="shared" si="33"/>
        <v>1</v>
      </c>
      <c r="P22" s="8">
        <f t="shared" si="34"/>
        <v>0</v>
      </c>
      <c r="Q22" s="8">
        <f t="shared" si="35"/>
        <v>0</v>
      </c>
      <c r="R22" s="8">
        <f t="shared" si="36"/>
        <v>0</v>
      </c>
      <c r="S22" s="8">
        <f t="shared" si="37"/>
        <v>0</v>
      </c>
      <c r="T22" s="8">
        <f t="shared" si="38"/>
        <v>3</v>
      </c>
      <c r="V22" s="8">
        <f t="shared" si="9"/>
        <v>3</v>
      </c>
      <c r="W22">
        <f t="shared" si="10"/>
        <v>1</v>
      </c>
      <c r="Y22" t="str">
        <f t="shared" si="11"/>
        <v>AMBIGUOUS</v>
      </c>
      <c r="AB22" s="3" t="s">
        <v>3</v>
      </c>
      <c r="AD22" s="3" t="s">
        <v>6</v>
      </c>
      <c r="AF22" s="16" t="s">
        <v>657</v>
      </c>
      <c r="AG22">
        <v>5</v>
      </c>
      <c r="AH22" t="s">
        <v>666</v>
      </c>
    </row>
    <row r="23" spans="2:41" x14ac:dyDescent="0.25">
      <c r="B23" s="5">
        <v>21</v>
      </c>
      <c r="C23" t="s">
        <v>0</v>
      </c>
      <c r="D23" t="s">
        <v>2</v>
      </c>
      <c r="E23" t="s">
        <v>2</v>
      </c>
      <c r="F23" t="s">
        <v>2</v>
      </c>
      <c r="G23" t="s">
        <v>3</v>
      </c>
      <c r="J23" s="15">
        <v>1</v>
      </c>
      <c r="K23" s="5">
        <v>21</v>
      </c>
      <c r="L23" s="8">
        <f t="shared" si="30"/>
        <v>1</v>
      </c>
      <c r="M23" s="8">
        <f t="shared" si="31"/>
        <v>0</v>
      </c>
      <c r="N23" s="8">
        <f t="shared" si="32"/>
        <v>0</v>
      </c>
      <c r="O23" s="8">
        <f t="shared" si="33"/>
        <v>0</v>
      </c>
      <c r="P23" s="8">
        <f t="shared" si="34"/>
        <v>0</v>
      </c>
      <c r="Q23" s="8">
        <f t="shared" si="35"/>
        <v>1</v>
      </c>
      <c r="R23" s="8">
        <f t="shared" si="36"/>
        <v>0</v>
      </c>
      <c r="S23" s="8">
        <f t="shared" si="37"/>
        <v>0</v>
      </c>
      <c r="T23" s="8">
        <f t="shared" si="38"/>
        <v>3</v>
      </c>
      <c r="V23" s="8">
        <f t="shared" si="9"/>
        <v>3</v>
      </c>
      <c r="W23">
        <f t="shared" si="10"/>
        <v>1</v>
      </c>
      <c r="Y23" t="str">
        <f t="shared" si="11"/>
        <v>AMBIGUOUS</v>
      </c>
      <c r="AB23" s="4">
        <v>0</v>
      </c>
      <c r="AD23" s="4">
        <v>0</v>
      </c>
      <c r="AF23" s="16" t="s">
        <v>658</v>
      </c>
      <c r="AG23">
        <v>635</v>
      </c>
      <c r="AH23" t="s">
        <v>667</v>
      </c>
    </row>
    <row r="24" spans="2:41" x14ac:dyDescent="0.25">
      <c r="B24" s="5">
        <v>22</v>
      </c>
      <c r="C24" t="s">
        <v>1</v>
      </c>
      <c r="D24" t="s">
        <v>5</v>
      </c>
      <c r="E24" t="s">
        <v>5</v>
      </c>
      <c r="F24" t="s">
        <v>5</v>
      </c>
      <c r="G24" t="s">
        <v>2</v>
      </c>
      <c r="J24" s="15">
        <v>1</v>
      </c>
      <c r="K24" s="5">
        <v>22</v>
      </c>
      <c r="L24" s="8">
        <f t="shared" si="30"/>
        <v>0</v>
      </c>
      <c r="M24" s="8">
        <f t="shared" si="31"/>
        <v>1</v>
      </c>
      <c r="N24" s="8">
        <f t="shared" si="32"/>
        <v>0</v>
      </c>
      <c r="O24" s="8">
        <f t="shared" si="33"/>
        <v>0</v>
      </c>
      <c r="P24" s="8">
        <f t="shared" si="34"/>
        <v>3</v>
      </c>
      <c r="Q24" s="8">
        <f t="shared" si="35"/>
        <v>0</v>
      </c>
      <c r="R24" s="8">
        <f t="shared" si="36"/>
        <v>0</v>
      </c>
      <c r="S24" s="8">
        <f t="shared" si="37"/>
        <v>0</v>
      </c>
      <c r="T24" s="8">
        <f t="shared" si="38"/>
        <v>1</v>
      </c>
      <c r="V24" s="8">
        <f t="shared" si="9"/>
        <v>3</v>
      </c>
      <c r="W24">
        <f t="shared" si="10"/>
        <v>1</v>
      </c>
      <c r="Y24" t="str">
        <f t="shared" si="11"/>
        <v>sadness</v>
      </c>
      <c r="AF24" s="16" t="s">
        <v>659</v>
      </c>
      <c r="AG24">
        <f>(SUMSQ(L3:T637)-AG22*AG23)/(AG22*AG23*(AG22-1))</f>
        <v>0.48740157480314961</v>
      </c>
    </row>
    <row r="25" spans="2:41" x14ac:dyDescent="0.25">
      <c r="B25" s="5">
        <v>23</v>
      </c>
      <c r="C25" t="s">
        <v>7</v>
      </c>
      <c r="D25" t="s">
        <v>2</v>
      </c>
      <c r="E25" t="s">
        <v>2</v>
      </c>
      <c r="F25" t="s">
        <v>2</v>
      </c>
      <c r="G25" t="s">
        <v>3</v>
      </c>
      <c r="J25" s="15">
        <v>1</v>
      </c>
      <c r="K25" s="5">
        <v>23</v>
      </c>
      <c r="L25" s="8">
        <f t="shared" si="30"/>
        <v>1</v>
      </c>
      <c r="M25" s="8">
        <f t="shared" si="31"/>
        <v>0</v>
      </c>
      <c r="N25" s="8">
        <f t="shared" si="32"/>
        <v>0</v>
      </c>
      <c r="O25" s="8">
        <f t="shared" si="33"/>
        <v>1</v>
      </c>
      <c r="P25" s="8">
        <f t="shared" si="34"/>
        <v>0</v>
      </c>
      <c r="Q25" s="8">
        <f t="shared" si="35"/>
        <v>0</v>
      </c>
      <c r="R25" s="8">
        <f t="shared" si="36"/>
        <v>0</v>
      </c>
      <c r="S25" s="8">
        <f t="shared" si="37"/>
        <v>0</v>
      </c>
      <c r="T25" s="8">
        <f t="shared" si="38"/>
        <v>3</v>
      </c>
      <c r="V25" s="8">
        <f t="shared" si="9"/>
        <v>3</v>
      </c>
      <c r="W25">
        <f t="shared" si="10"/>
        <v>1</v>
      </c>
      <c r="Y25" t="str">
        <f t="shared" si="11"/>
        <v>AMBIGUOUS</v>
      </c>
      <c r="AB25" s="3" t="s">
        <v>1</v>
      </c>
      <c r="AD25" s="3" t="s">
        <v>5</v>
      </c>
      <c r="AF25" s="16" t="s">
        <v>660</v>
      </c>
      <c r="AG25">
        <f>SUMSQ(AG33:AO33)</f>
        <v>0.21064735569471138</v>
      </c>
    </row>
    <row r="26" spans="2:41" x14ac:dyDescent="0.25">
      <c r="B26" s="5">
        <v>24</v>
      </c>
      <c r="C26" t="s">
        <v>2</v>
      </c>
      <c r="D26" t="s">
        <v>2</v>
      </c>
      <c r="E26" t="s">
        <v>2</v>
      </c>
      <c r="F26" t="s">
        <v>2</v>
      </c>
      <c r="G26" t="s">
        <v>3</v>
      </c>
      <c r="J26" s="15" t="s">
        <v>654</v>
      </c>
      <c r="K26" s="5">
        <v>24</v>
      </c>
      <c r="L26" s="8">
        <f t="shared" si="30"/>
        <v>1</v>
      </c>
      <c r="M26" s="8">
        <f t="shared" si="31"/>
        <v>0</v>
      </c>
      <c r="N26" s="8">
        <f t="shared" si="32"/>
        <v>0</v>
      </c>
      <c r="O26" s="8">
        <f t="shared" si="33"/>
        <v>0</v>
      </c>
      <c r="P26" s="8">
        <f t="shared" si="34"/>
        <v>0</v>
      </c>
      <c r="Q26" s="8">
        <f t="shared" si="35"/>
        <v>0</v>
      </c>
      <c r="R26" s="8">
        <f t="shared" si="36"/>
        <v>0</v>
      </c>
      <c r="S26" s="8">
        <f t="shared" si="37"/>
        <v>0</v>
      </c>
      <c r="T26" s="8">
        <f t="shared" si="38"/>
        <v>4</v>
      </c>
      <c r="V26" s="8">
        <f t="shared" si="9"/>
        <v>4</v>
      </c>
      <c r="W26">
        <f t="shared" si="10"/>
        <v>1</v>
      </c>
      <c r="Y26" t="str">
        <f t="shared" si="11"/>
        <v>AMBIGUOUS</v>
      </c>
      <c r="AB26" s="4">
        <v>0</v>
      </c>
      <c r="AD26" s="4">
        <v>0</v>
      </c>
      <c r="AF26" s="16" t="s">
        <v>661</v>
      </c>
      <c r="AG26">
        <f>(AG24-AG25)/(1-AG25)</f>
        <v>0.35060909861397926</v>
      </c>
    </row>
    <row r="27" spans="2:41" x14ac:dyDescent="0.25">
      <c r="B27" s="5">
        <v>25</v>
      </c>
      <c r="C27" t="s">
        <v>0</v>
      </c>
      <c r="D27" t="s">
        <v>0</v>
      </c>
      <c r="E27" t="s">
        <v>2</v>
      </c>
      <c r="F27" t="s">
        <v>0</v>
      </c>
      <c r="G27" t="s">
        <v>3</v>
      </c>
      <c r="J27" s="15">
        <v>1</v>
      </c>
      <c r="K27" s="5">
        <v>25</v>
      </c>
      <c r="L27" s="8">
        <f t="shared" si="30"/>
        <v>1</v>
      </c>
      <c r="M27" s="8">
        <f t="shared" si="31"/>
        <v>0</v>
      </c>
      <c r="N27" s="8">
        <f t="shared" si="32"/>
        <v>0</v>
      </c>
      <c r="O27" s="8">
        <f t="shared" si="33"/>
        <v>0</v>
      </c>
      <c r="P27" s="8">
        <f t="shared" si="34"/>
        <v>0</v>
      </c>
      <c r="Q27" s="8">
        <f t="shared" si="35"/>
        <v>3</v>
      </c>
      <c r="R27" s="8">
        <f t="shared" si="36"/>
        <v>0</v>
      </c>
      <c r="S27" s="8">
        <f t="shared" si="37"/>
        <v>0</v>
      </c>
      <c r="T27" s="8">
        <f t="shared" si="38"/>
        <v>1</v>
      </c>
      <c r="V27" s="8">
        <f t="shared" si="9"/>
        <v>3</v>
      </c>
      <c r="W27">
        <f t="shared" si="10"/>
        <v>1</v>
      </c>
      <c r="Y27" t="str">
        <f t="shared" si="11"/>
        <v>disgust</v>
      </c>
      <c r="AF27" s="16" t="s">
        <v>662</v>
      </c>
      <c r="AG27" t="e">
        <f>AG36*SQRT(SUM(AG34:AO34)^2-SUMPRODUCT(AG34:AO34,1-2*AG33:AO33)/SUM(AG34:AO34))</f>
        <v>#NUM!</v>
      </c>
      <c r="AH27" t="s">
        <v>673</v>
      </c>
    </row>
    <row r="28" spans="2:41" x14ac:dyDescent="0.25">
      <c r="B28" s="5">
        <v>26</v>
      </c>
      <c r="C28" t="s">
        <v>0</v>
      </c>
      <c r="D28" t="s">
        <v>5</v>
      </c>
      <c r="E28" t="s">
        <v>2</v>
      </c>
      <c r="F28" t="s">
        <v>5</v>
      </c>
      <c r="G28" t="s">
        <v>5</v>
      </c>
      <c r="J28" s="15">
        <v>1</v>
      </c>
      <c r="K28" s="5">
        <v>26</v>
      </c>
      <c r="L28" s="8">
        <f t="shared" si="30"/>
        <v>0</v>
      </c>
      <c r="M28" s="8">
        <f t="shared" si="31"/>
        <v>0</v>
      </c>
      <c r="N28" s="8">
        <f t="shared" si="32"/>
        <v>0</v>
      </c>
      <c r="O28" s="8">
        <f t="shared" si="33"/>
        <v>0</v>
      </c>
      <c r="P28" s="8">
        <f t="shared" si="34"/>
        <v>3</v>
      </c>
      <c r="Q28" s="8">
        <f t="shared" si="35"/>
        <v>1</v>
      </c>
      <c r="R28" s="8">
        <f t="shared" si="36"/>
        <v>0</v>
      </c>
      <c r="S28" s="8">
        <f t="shared" si="37"/>
        <v>0</v>
      </c>
      <c r="T28" s="8">
        <f t="shared" si="38"/>
        <v>1</v>
      </c>
      <c r="V28" s="8">
        <f t="shared" si="9"/>
        <v>3</v>
      </c>
      <c r="W28">
        <f t="shared" si="10"/>
        <v>1</v>
      </c>
      <c r="Y28" t="str">
        <f t="shared" si="11"/>
        <v>sadness</v>
      </c>
      <c r="AB28" s="3" t="s">
        <v>7</v>
      </c>
      <c r="AD28" s="3" t="s">
        <v>4</v>
      </c>
      <c r="AF28" s="16" t="s">
        <v>663</v>
      </c>
      <c r="AG28" t="e">
        <f>AG26/AG27</f>
        <v>#NUM!</v>
      </c>
    </row>
    <row r="29" spans="2:41" x14ac:dyDescent="0.25">
      <c r="B29" s="5">
        <v>27</v>
      </c>
      <c r="C29" t="s">
        <v>5</v>
      </c>
      <c r="D29" t="s">
        <v>5</v>
      </c>
      <c r="E29" t="s">
        <v>2</v>
      </c>
      <c r="F29" t="s">
        <v>5</v>
      </c>
      <c r="G29" t="s">
        <v>5</v>
      </c>
      <c r="J29" s="15" t="s">
        <v>654</v>
      </c>
      <c r="K29" s="5">
        <v>27</v>
      </c>
      <c r="L29" s="8">
        <f t="shared" si="30"/>
        <v>0</v>
      </c>
      <c r="M29" s="8">
        <f t="shared" si="31"/>
        <v>0</v>
      </c>
      <c r="N29" s="8">
        <f t="shared" si="32"/>
        <v>0</v>
      </c>
      <c r="O29" s="8">
        <f t="shared" si="33"/>
        <v>0</v>
      </c>
      <c r="P29" s="8">
        <f t="shared" si="34"/>
        <v>4</v>
      </c>
      <c r="Q29" s="8">
        <f t="shared" si="35"/>
        <v>0</v>
      </c>
      <c r="R29" s="8">
        <f t="shared" si="36"/>
        <v>0</v>
      </c>
      <c r="S29" s="8">
        <f t="shared" si="37"/>
        <v>0</v>
      </c>
      <c r="T29" s="8">
        <f t="shared" si="38"/>
        <v>1</v>
      </c>
      <c r="V29" s="8">
        <f t="shared" si="9"/>
        <v>4</v>
      </c>
      <c r="W29">
        <f t="shared" si="10"/>
        <v>1</v>
      </c>
      <c r="Y29" t="str">
        <f t="shared" si="11"/>
        <v>sadness</v>
      </c>
      <c r="AB29" s="4">
        <v>0</v>
      </c>
      <c r="AD29" s="4">
        <v>0</v>
      </c>
      <c r="AF29" s="16" t="s">
        <v>664</v>
      </c>
      <c r="AG29" t="e">
        <f>2*(1-NORMSDIST(AG28))</f>
        <v>#NUM!</v>
      </c>
    </row>
    <row r="30" spans="2:41" x14ac:dyDescent="0.25">
      <c r="B30" s="5">
        <v>28</v>
      </c>
      <c r="C30" t="s">
        <v>8</v>
      </c>
      <c r="D30" t="s">
        <v>8</v>
      </c>
      <c r="E30" t="s">
        <v>2</v>
      </c>
      <c r="F30" t="s">
        <v>8</v>
      </c>
      <c r="G30" t="s">
        <v>3</v>
      </c>
      <c r="J30" s="15">
        <v>1</v>
      </c>
      <c r="K30" s="5">
        <v>28</v>
      </c>
      <c r="L30" s="8">
        <f t="shared" si="30"/>
        <v>1</v>
      </c>
      <c r="M30" s="8">
        <f t="shared" si="31"/>
        <v>0</v>
      </c>
      <c r="N30" s="8">
        <f t="shared" si="32"/>
        <v>0</v>
      </c>
      <c r="O30" s="8">
        <f t="shared" si="33"/>
        <v>0</v>
      </c>
      <c r="P30" s="8">
        <f t="shared" si="34"/>
        <v>0</v>
      </c>
      <c r="Q30" s="8">
        <f t="shared" si="35"/>
        <v>0</v>
      </c>
      <c r="R30" s="8">
        <f t="shared" si="36"/>
        <v>0</v>
      </c>
      <c r="S30" s="8">
        <f t="shared" si="37"/>
        <v>3</v>
      </c>
      <c r="T30" s="8">
        <f t="shared" si="38"/>
        <v>1</v>
      </c>
      <c r="V30" s="8">
        <f t="shared" si="9"/>
        <v>3</v>
      </c>
      <c r="W30">
        <f t="shared" si="10"/>
        <v>1</v>
      </c>
      <c r="Y30" t="str">
        <f t="shared" si="11"/>
        <v>anticipation</v>
      </c>
    </row>
    <row r="31" spans="2:41" x14ac:dyDescent="0.25">
      <c r="B31" s="5">
        <v>29</v>
      </c>
      <c r="C31" t="s">
        <v>8</v>
      </c>
      <c r="D31" t="s">
        <v>8</v>
      </c>
      <c r="E31" t="s">
        <v>2</v>
      </c>
      <c r="F31" t="s">
        <v>8</v>
      </c>
      <c r="G31" t="s">
        <v>3</v>
      </c>
      <c r="J31" s="15">
        <v>1</v>
      </c>
      <c r="K31" s="5">
        <v>29</v>
      </c>
      <c r="L31" s="8">
        <f t="shared" si="30"/>
        <v>1</v>
      </c>
      <c r="M31" s="8">
        <f t="shared" si="31"/>
        <v>0</v>
      </c>
      <c r="N31" s="8">
        <f t="shared" si="32"/>
        <v>0</v>
      </c>
      <c r="O31" s="8">
        <f t="shared" si="33"/>
        <v>0</v>
      </c>
      <c r="P31" s="8">
        <f t="shared" si="34"/>
        <v>0</v>
      </c>
      <c r="Q31" s="8">
        <f t="shared" si="35"/>
        <v>0</v>
      </c>
      <c r="R31" s="8">
        <f t="shared" si="36"/>
        <v>0</v>
      </c>
      <c r="S31" s="8">
        <f t="shared" si="37"/>
        <v>3</v>
      </c>
      <c r="T31" s="8">
        <f t="shared" si="38"/>
        <v>1</v>
      </c>
      <c r="V31" s="8">
        <f t="shared" si="9"/>
        <v>3</v>
      </c>
      <c r="W31">
        <f t="shared" si="10"/>
        <v>1</v>
      </c>
      <c r="Y31" t="str">
        <f t="shared" si="11"/>
        <v>anticipation</v>
      </c>
      <c r="AB31" s="3" t="s">
        <v>8</v>
      </c>
      <c r="AD31" s="3" t="s">
        <v>0</v>
      </c>
    </row>
    <row r="32" spans="2:41" x14ac:dyDescent="0.25">
      <c r="B32" s="5">
        <v>30</v>
      </c>
      <c r="C32" t="s">
        <v>7</v>
      </c>
      <c r="D32" t="s">
        <v>6</v>
      </c>
      <c r="E32" t="s">
        <v>5</v>
      </c>
      <c r="F32" t="s">
        <v>6</v>
      </c>
      <c r="G32" t="s">
        <v>6</v>
      </c>
      <c r="J32" s="15">
        <v>1</v>
      </c>
      <c r="K32" s="5">
        <v>30</v>
      </c>
      <c r="L32" s="8">
        <f t="shared" si="30"/>
        <v>0</v>
      </c>
      <c r="M32" s="8">
        <f t="shared" si="31"/>
        <v>0</v>
      </c>
      <c r="N32" s="8">
        <f t="shared" si="32"/>
        <v>3</v>
      </c>
      <c r="O32" s="8">
        <f t="shared" si="33"/>
        <v>1</v>
      </c>
      <c r="P32" s="8">
        <f t="shared" si="34"/>
        <v>1</v>
      </c>
      <c r="Q32" s="8">
        <f t="shared" si="35"/>
        <v>0</v>
      </c>
      <c r="R32" s="8">
        <f t="shared" si="36"/>
        <v>0</v>
      </c>
      <c r="S32" s="8">
        <f t="shared" si="37"/>
        <v>0</v>
      </c>
      <c r="T32" s="8">
        <f t="shared" si="38"/>
        <v>0</v>
      </c>
      <c r="V32" s="8">
        <f t="shared" si="9"/>
        <v>3</v>
      </c>
      <c r="W32">
        <f t="shared" si="10"/>
        <v>1</v>
      </c>
      <c r="Y32" t="str">
        <f t="shared" si="11"/>
        <v>fear</v>
      </c>
      <c r="AB32" s="4">
        <v>0</v>
      </c>
      <c r="AD32" s="4">
        <v>0</v>
      </c>
      <c r="AG32" s="7" t="s">
        <v>3</v>
      </c>
      <c r="AH32" s="7" t="s">
        <v>1</v>
      </c>
      <c r="AI32" s="7" t="s">
        <v>6</v>
      </c>
      <c r="AJ32" s="7" t="s">
        <v>7</v>
      </c>
      <c r="AK32" s="7" t="s">
        <v>5</v>
      </c>
      <c r="AL32" s="7" t="s">
        <v>0</v>
      </c>
      <c r="AM32" s="7" t="s">
        <v>4</v>
      </c>
      <c r="AN32" s="7" t="s">
        <v>672</v>
      </c>
      <c r="AO32" s="7" t="s">
        <v>651</v>
      </c>
    </row>
    <row r="33" spans="2:42" x14ac:dyDescent="0.25">
      <c r="B33" s="5">
        <v>31</v>
      </c>
      <c r="C33" t="s">
        <v>6</v>
      </c>
      <c r="D33" t="s">
        <v>2</v>
      </c>
      <c r="E33" t="s">
        <v>2</v>
      </c>
      <c r="F33" t="s">
        <v>2</v>
      </c>
      <c r="G33" t="s">
        <v>2</v>
      </c>
      <c r="J33" s="15" t="s">
        <v>654</v>
      </c>
      <c r="K33" s="5">
        <v>31</v>
      </c>
      <c r="L33" s="8">
        <f t="shared" si="30"/>
        <v>0</v>
      </c>
      <c r="M33" s="8">
        <f t="shared" si="31"/>
        <v>0</v>
      </c>
      <c r="N33" s="8">
        <f t="shared" si="32"/>
        <v>1</v>
      </c>
      <c r="O33" s="8">
        <f t="shared" si="33"/>
        <v>0</v>
      </c>
      <c r="P33" s="8">
        <f t="shared" si="34"/>
        <v>0</v>
      </c>
      <c r="Q33" s="8">
        <f t="shared" si="35"/>
        <v>0</v>
      </c>
      <c r="R33" s="8">
        <f t="shared" si="36"/>
        <v>0</v>
      </c>
      <c r="S33" s="8">
        <f t="shared" si="37"/>
        <v>0</v>
      </c>
      <c r="T33" s="8">
        <f t="shared" si="38"/>
        <v>4</v>
      </c>
      <c r="V33" s="8">
        <f t="shared" si="9"/>
        <v>4</v>
      </c>
      <c r="W33">
        <f t="shared" si="10"/>
        <v>1</v>
      </c>
      <c r="Y33" t="str">
        <f t="shared" si="11"/>
        <v>AMBIGUOUS</v>
      </c>
      <c r="AF33" s="17" t="s">
        <v>668</v>
      </c>
      <c r="AG33">
        <f>SUM(L3:L637)/($AG$22*$AG$23)</f>
        <v>0.38614173228346454</v>
      </c>
      <c r="AH33">
        <f t="shared" ref="AH33:AL33" si="39">SUM(M3:M637)/($AG$22*$AG$23)</f>
        <v>0.15433070866141732</v>
      </c>
      <c r="AI33">
        <f t="shared" si="39"/>
        <v>7.2125984251968506E-2</v>
      </c>
      <c r="AJ33">
        <f t="shared" si="39"/>
        <v>4.15748031496063E-2</v>
      </c>
      <c r="AK33">
        <f t="shared" si="39"/>
        <v>0.11307086614173228</v>
      </c>
      <c r="AL33">
        <f t="shared" si="39"/>
        <v>3.4645669291338582E-2</v>
      </c>
      <c r="AM33">
        <f>SUM(R3:R637)/($AG$22*$AG$23)</f>
        <v>2.2362204724409449E-2</v>
      </c>
      <c r="AN33">
        <f t="shared" ref="AN33" si="40">SUM(S3:S637)/($AG$22*$AG$23)</f>
        <v>6.7086614173228351E-2</v>
      </c>
      <c r="AO33">
        <f t="shared" ref="AO33" si="41">SUM(T3:T637)/($AG$22*$AG$23)</f>
        <v>0.10866141732283464</v>
      </c>
      <c r="AP33">
        <f>SUM(AG33:AO33)</f>
        <v>0.99999999999999989</v>
      </c>
    </row>
    <row r="34" spans="2:42" x14ac:dyDescent="0.25">
      <c r="B34" s="5">
        <v>32</v>
      </c>
      <c r="C34" t="s">
        <v>7</v>
      </c>
      <c r="D34" t="s">
        <v>3</v>
      </c>
      <c r="E34" t="s">
        <v>2</v>
      </c>
      <c r="F34" t="s">
        <v>3</v>
      </c>
      <c r="G34" t="s">
        <v>3</v>
      </c>
      <c r="J34" s="15">
        <v>1</v>
      </c>
      <c r="K34" s="5">
        <v>32</v>
      </c>
      <c r="L34" s="8">
        <f t="shared" si="30"/>
        <v>3</v>
      </c>
      <c r="M34" s="8">
        <f t="shared" si="31"/>
        <v>0</v>
      </c>
      <c r="N34" s="8">
        <f t="shared" si="32"/>
        <v>0</v>
      </c>
      <c r="O34" s="8">
        <f t="shared" si="33"/>
        <v>1</v>
      </c>
      <c r="P34" s="8">
        <f t="shared" si="34"/>
        <v>0</v>
      </c>
      <c r="Q34" s="8">
        <f t="shared" si="35"/>
        <v>0</v>
      </c>
      <c r="R34" s="8">
        <f t="shared" si="36"/>
        <v>0</v>
      </c>
      <c r="S34" s="8">
        <f t="shared" si="37"/>
        <v>0</v>
      </c>
      <c r="T34" s="8">
        <f t="shared" si="38"/>
        <v>1</v>
      </c>
      <c r="V34" s="8">
        <f t="shared" si="9"/>
        <v>3</v>
      </c>
      <c r="W34">
        <f t="shared" si="10"/>
        <v>1</v>
      </c>
      <c r="Y34" t="str">
        <f t="shared" si="11"/>
        <v>joy</v>
      </c>
      <c r="AC34" s="3" t="s">
        <v>651</v>
      </c>
      <c r="AF34" s="17" t="s">
        <v>669</v>
      </c>
      <c r="AG34">
        <f>AG33*(1-AG33)</f>
        <v>0.23703629487258973</v>
      </c>
      <c r="AH34">
        <f t="shared" ref="AH34:AL34" si="42">AH33*(1-AH33)</f>
        <v>0.13051274102548205</v>
      </c>
      <c r="AI34">
        <f t="shared" si="42"/>
        <v>6.6923826647653298E-2</v>
      </c>
      <c r="AJ34">
        <f t="shared" si="42"/>
        <v>3.9846338892677788E-2</v>
      </c>
      <c r="AK34">
        <f t="shared" si="42"/>
        <v>0.10028584537169073</v>
      </c>
      <c r="AL34">
        <f t="shared" si="42"/>
        <v>3.3445346890693783E-2</v>
      </c>
      <c r="AM34">
        <f>AM33*(1-AM33)</f>
        <v>2.1862136524273049E-2</v>
      </c>
      <c r="AN34">
        <f t="shared" ref="AN34" si="43">AN33*(1-AN33)</f>
        <v>6.2586000372000752E-2</v>
      </c>
      <c r="AO34">
        <f t="shared" ref="AO34" si="44">AO33*(1-AO33)</f>
        <v>9.6854113708227413E-2</v>
      </c>
      <c r="AP34">
        <f>SUM(AG34:AO34)</f>
        <v>0.78935264430528862</v>
      </c>
    </row>
    <row r="35" spans="2:42" x14ac:dyDescent="0.25">
      <c r="B35" s="5">
        <v>33</v>
      </c>
      <c r="C35" t="s">
        <v>7</v>
      </c>
      <c r="D35" t="s">
        <v>2</v>
      </c>
      <c r="E35" t="s">
        <v>2</v>
      </c>
      <c r="F35" t="s">
        <v>2</v>
      </c>
      <c r="G35" t="s">
        <v>3</v>
      </c>
      <c r="J35" s="15">
        <v>1</v>
      </c>
      <c r="K35" s="5">
        <v>33</v>
      </c>
      <c r="L35" s="8">
        <f t="shared" si="30"/>
        <v>1</v>
      </c>
      <c r="M35" s="8">
        <f t="shared" si="31"/>
        <v>0</v>
      </c>
      <c r="N35" s="8">
        <f t="shared" si="32"/>
        <v>0</v>
      </c>
      <c r="O35" s="8">
        <f t="shared" si="33"/>
        <v>1</v>
      </c>
      <c r="P35" s="8">
        <f t="shared" si="34"/>
        <v>0</v>
      </c>
      <c r="Q35" s="8">
        <f t="shared" si="35"/>
        <v>0</v>
      </c>
      <c r="R35" s="8">
        <f t="shared" si="36"/>
        <v>0</v>
      </c>
      <c r="S35" s="8">
        <f t="shared" si="37"/>
        <v>0</v>
      </c>
      <c r="T35" s="8">
        <f t="shared" si="38"/>
        <v>3</v>
      </c>
      <c r="V35" s="8">
        <f t="shared" si="9"/>
        <v>3</v>
      </c>
      <c r="W35">
        <f t="shared" si="10"/>
        <v>1</v>
      </c>
      <c r="Y35" t="str">
        <f t="shared" si="11"/>
        <v>AMBIGUOUS</v>
      </c>
      <c r="AC35" s="4">
        <v>0</v>
      </c>
      <c r="AF35" s="17" t="s">
        <v>670</v>
      </c>
      <c r="AG35" s="18">
        <f>1-SUMPRODUCT(L3:L637,$AG$22-L3:L637)/($AG$22*$AG$23*($AG$22-1)*AG33*(1-AG33))</f>
        <v>0.424653710398188</v>
      </c>
      <c r="AH35" s="18">
        <f t="shared" ref="AH35:AL35" si="45">1-SUMPRODUCT(M3:M637,$AG$22-M3:M637)/($AG$22*$AG$23*($AG$22-1)*AH33*(1-AH33))</f>
        <v>0.36290046744954974</v>
      </c>
      <c r="AI35" s="18">
        <f t="shared" si="45"/>
        <v>0.37642114094457146</v>
      </c>
      <c r="AJ35" s="18">
        <f t="shared" si="45"/>
        <v>0.1344703193618737</v>
      </c>
      <c r="AK35" s="18">
        <f t="shared" si="45"/>
        <v>0.36559295074702458</v>
      </c>
      <c r="AL35" s="18">
        <f t="shared" si="45"/>
        <v>0.35963221118196653</v>
      </c>
      <c r="AM35" s="18">
        <f>1-SUMPRODUCT(R3:R637,$AG$22-R3:R637)/($AG$22*$AG$23*($AG$22-1)*AM33*(1-AM33))</f>
        <v>0.38771644039494702</v>
      </c>
      <c r="AN35" s="18">
        <f t="shared" ref="AN35" si="46">1-SUMPRODUCT(S3:S637,$AG$22-S3:S637)/($AG$22*$AG$23*($AG$22-1)*AN33*(1-AN33))</f>
        <v>0.22248718509571952</v>
      </c>
      <c r="AO35" s="18">
        <f t="shared" ref="AO35" si="47">1-SUMPRODUCT(T3:T637,$AG$22-T3:T637)/($AG$22*$AG$23*($AG$22-1)*AO33*(1-AO33))</f>
        <v>0.27970246325600445</v>
      </c>
      <c r="AP35">
        <f>SUM(AG35:AO35)</f>
        <v>2.9135768888298452</v>
      </c>
    </row>
    <row r="36" spans="2:42" x14ac:dyDescent="0.25">
      <c r="B36" s="5">
        <v>34</v>
      </c>
      <c r="C36" t="s">
        <v>5</v>
      </c>
      <c r="D36" t="s">
        <v>5</v>
      </c>
      <c r="E36" t="s">
        <v>5</v>
      </c>
      <c r="F36" t="s">
        <v>5</v>
      </c>
      <c r="G36" t="s">
        <v>2</v>
      </c>
      <c r="J36" s="15" t="s">
        <v>654</v>
      </c>
      <c r="K36" s="5">
        <v>34</v>
      </c>
      <c r="L36" s="8">
        <f t="shared" si="30"/>
        <v>0</v>
      </c>
      <c r="M36" s="8">
        <f t="shared" si="31"/>
        <v>0</v>
      </c>
      <c r="N36" s="8">
        <f t="shared" si="32"/>
        <v>0</v>
      </c>
      <c r="O36" s="8">
        <f t="shared" si="33"/>
        <v>0</v>
      </c>
      <c r="P36" s="8">
        <f t="shared" si="34"/>
        <v>4</v>
      </c>
      <c r="Q36" s="8">
        <f t="shared" si="35"/>
        <v>0</v>
      </c>
      <c r="R36" s="8">
        <f t="shared" si="36"/>
        <v>0</v>
      </c>
      <c r="S36" s="8">
        <f t="shared" si="37"/>
        <v>0</v>
      </c>
      <c r="T36" s="8">
        <f t="shared" si="38"/>
        <v>1</v>
      </c>
      <c r="V36" s="8">
        <f t="shared" si="9"/>
        <v>4</v>
      </c>
      <c r="W36">
        <f t="shared" si="10"/>
        <v>1</v>
      </c>
      <c r="Y36" t="str">
        <f t="shared" si="11"/>
        <v>sadness</v>
      </c>
      <c r="AF36" s="17" t="s">
        <v>662</v>
      </c>
      <c r="AG36">
        <f>SQRT(2/($AG$22*($AG$22-1)*$AG$23))</f>
        <v>1.254911610276317E-2</v>
      </c>
      <c r="AH36">
        <f t="shared" ref="AH36:AO36" si="48">SQRT(2/($AG$22*($AG$22-1)*$AG$23))</f>
        <v>1.254911610276317E-2</v>
      </c>
      <c r="AI36">
        <f t="shared" si="48"/>
        <v>1.254911610276317E-2</v>
      </c>
      <c r="AJ36">
        <f t="shared" si="48"/>
        <v>1.254911610276317E-2</v>
      </c>
      <c r="AK36">
        <f t="shared" si="48"/>
        <v>1.254911610276317E-2</v>
      </c>
      <c r="AL36">
        <f t="shared" si="48"/>
        <v>1.254911610276317E-2</v>
      </c>
      <c r="AM36">
        <f>SQRT(2/($AG$22*($AG$22-1)*$AG$23))</f>
        <v>1.254911610276317E-2</v>
      </c>
      <c r="AN36">
        <f t="shared" si="48"/>
        <v>1.254911610276317E-2</v>
      </c>
      <c r="AO36">
        <f t="shared" si="48"/>
        <v>1.254911610276317E-2</v>
      </c>
      <c r="AP36">
        <f>SUM(AG36:AO36)</f>
        <v>0.11294204492486853</v>
      </c>
    </row>
    <row r="37" spans="2:42" x14ac:dyDescent="0.25">
      <c r="B37" s="5">
        <v>35</v>
      </c>
      <c r="C37" t="s">
        <v>0</v>
      </c>
      <c r="D37" t="s">
        <v>5</v>
      </c>
      <c r="E37" t="s">
        <v>5</v>
      </c>
      <c r="F37" t="s">
        <v>5</v>
      </c>
      <c r="G37" t="s">
        <v>2</v>
      </c>
      <c r="J37" s="15">
        <v>1</v>
      </c>
      <c r="K37" s="5">
        <v>35</v>
      </c>
      <c r="L37" s="8">
        <f t="shared" si="30"/>
        <v>0</v>
      </c>
      <c r="M37" s="8">
        <f t="shared" si="31"/>
        <v>0</v>
      </c>
      <c r="N37" s="8">
        <f t="shared" si="32"/>
        <v>0</v>
      </c>
      <c r="O37" s="8">
        <f t="shared" si="33"/>
        <v>0</v>
      </c>
      <c r="P37" s="8">
        <f t="shared" si="34"/>
        <v>3</v>
      </c>
      <c r="Q37" s="8">
        <f t="shared" si="35"/>
        <v>1</v>
      </c>
      <c r="R37" s="8">
        <f t="shared" si="36"/>
        <v>0</v>
      </c>
      <c r="S37" s="8">
        <f t="shared" si="37"/>
        <v>0</v>
      </c>
      <c r="T37" s="8">
        <f t="shared" si="38"/>
        <v>1</v>
      </c>
      <c r="V37" s="8">
        <f t="shared" si="9"/>
        <v>3</v>
      </c>
      <c r="W37">
        <f t="shared" si="10"/>
        <v>1</v>
      </c>
      <c r="Y37" t="str">
        <f t="shared" si="11"/>
        <v>sadness</v>
      </c>
      <c r="AF37" s="17" t="s">
        <v>663</v>
      </c>
      <c r="AG37">
        <f>AG35/AG36</f>
        <v>33.839332341875789</v>
      </c>
      <c r="AH37">
        <f t="shared" ref="AH37:AL37" si="49">AH35/AH36</f>
        <v>28.918408633548562</v>
      </c>
      <c r="AI37">
        <f t="shared" si="49"/>
        <v>29.995829017924848</v>
      </c>
      <c r="AJ37">
        <f t="shared" si="49"/>
        <v>10.715521177803502</v>
      </c>
      <c r="AK37">
        <f t="shared" si="49"/>
        <v>29.132964246503803</v>
      </c>
      <c r="AL37">
        <f t="shared" si="49"/>
        <v>28.657971464841232</v>
      </c>
      <c r="AM37">
        <f>AM35/AM36</f>
        <v>30.895916271710668</v>
      </c>
      <c r="AN37">
        <f t="shared" ref="AN37" si="50">AN35/AN36</f>
        <v>17.729311233858965</v>
      </c>
      <c r="AO37">
        <f t="shared" ref="AO37" si="51">AO35/AO36</f>
        <v>22.288618653740656</v>
      </c>
      <c r="AP37">
        <f t="shared" ref="AP37:AP38" si="52">SUM(AG37:AO37)</f>
        <v>232.17387304180804</v>
      </c>
    </row>
    <row r="38" spans="2:42" x14ac:dyDescent="0.25">
      <c r="B38" s="5">
        <v>36</v>
      </c>
      <c r="C38" t="s">
        <v>5</v>
      </c>
      <c r="D38" t="s">
        <v>5</v>
      </c>
      <c r="E38" t="s">
        <v>5</v>
      </c>
      <c r="F38" t="s">
        <v>5</v>
      </c>
      <c r="G38" t="s">
        <v>2</v>
      </c>
      <c r="J38" s="15" t="s">
        <v>654</v>
      </c>
      <c r="K38" s="5">
        <v>36</v>
      </c>
      <c r="L38" s="8">
        <f t="shared" si="30"/>
        <v>0</v>
      </c>
      <c r="M38" s="8">
        <f t="shared" si="31"/>
        <v>0</v>
      </c>
      <c r="N38" s="8">
        <f t="shared" si="32"/>
        <v>0</v>
      </c>
      <c r="O38" s="8">
        <f t="shared" si="33"/>
        <v>0</v>
      </c>
      <c r="P38" s="8">
        <f t="shared" si="34"/>
        <v>4</v>
      </c>
      <c r="Q38" s="8">
        <f t="shared" si="35"/>
        <v>0</v>
      </c>
      <c r="R38" s="8">
        <f t="shared" si="36"/>
        <v>0</v>
      </c>
      <c r="S38" s="8">
        <f t="shared" si="37"/>
        <v>0</v>
      </c>
      <c r="T38" s="8">
        <f t="shared" si="38"/>
        <v>1</v>
      </c>
      <c r="V38" s="8">
        <f t="shared" si="9"/>
        <v>4</v>
      </c>
      <c r="W38">
        <f t="shared" si="10"/>
        <v>1</v>
      </c>
      <c r="Y38" t="str">
        <f t="shared" si="11"/>
        <v>sadness</v>
      </c>
      <c r="AF38" s="17" t="s">
        <v>671</v>
      </c>
      <c r="AG38">
        <f>2*(1-NORMSDIST(AG37))</f>
        <v>0</v>
      </c>
      <c r="AH38">
        <f t="shared" ref="AH38:AL38" si="53">2*(1-NORMSDIST(AH37))</f>
        <v>0</v>
      </c>
      <c r="AI38">
        <f t="shared" si="53"/>
        <v>0</v>
      </c>
      <c r="AJ38">
        <f t="shared" si="53"/>
        <v>0</v>
      </c>
      <c r="AK38">
        <f t="shared" si="53"/>
        <v>0</v>
      </c>
      <c r="AL38">
        <f t="shared" si="53"/>
        <v>0</v>
      </c>
      <c r="AM38">
        <f>2*(1-NORMSDIST(AM37))</f>
        <v>0</v>
      </c>
      <c r="AN38">
        <f t="shared" ref="AN38" si="54">2*(1-NORMSDIST(AN37))</f>
        <v>0</v>
      </c>
      <c r="AO38">
        <f t="shared" ref="AO38" si="55">2*(1-NORMSDIST(AO37))</f>
        <v>0</v>
      </c>
      <c r="AP38">
        <f t="shared" si="52"/>
        <v>0</v>
      </c>
    </row>
    <row r="39" spans="2:42" x14ac:dyDescent="0.25">
      <c r="B39" s="5">
        <v>37</v>
      </c>
      <c r="C39" t="s">
        <v>1</v>
      </c>
      <c r="D39" t="s">
        <v>5</v>
      </c>
      <c r="E39" t="s">
        <v>5</v>
      </c>
      <c r="F39" t="s">
        <v>5</v>
      </c>
      <c r="G39" t="s">
        <v>5</v>
      </c>
      <c r="J39" s="15" t="s">
        <v>654</v>
      </c>
      <c r="K39" s="5">
        <v>37</v>
      </c>
      <c r="L39" s="8">
        <f t="shared" si="30"/>
        <v>0</v>
      </c>
      <c r="M39" s="8">
        <f t="shared" si="31"/>
        <v>1</v>
      </c>
      <c r="N39" s="8">
        <f t="shared" si="32"/>
        <v>0</v>
      </c>
      <c r="O39" s="8">
        <f t="shared" si="33"/>
        <v>0</v>
      </c>
      <c r="P39" s="8">
        <f t="shared" si="34"/>
        <v>4</v>
      </c>
      <c r="Q39" s="8">
        <f t="shared" si="35"/>
        <v>0</v>
      </c>
      <c r="R39" s="8">
        <f t="shared" si="36"/>
        <v>0</v>
      </c>
      <c r="S39" s="8">
        <f t="shared" si="37"/>
        <v>0</v>
      </c>
      <c r="T39" s="8">
        <f t="shared" si="38"/>
        <v>0</v>
      </c>
      <c r="V39" s="8">
        <f t="shared" si="9"/>
        <v>4</v>
      </c>
      <c r="W39">
        <f t="shared" si="10"/>
        <v>1</v>
      </c>
      <c r="Y39" t="str">
        <f t="shared" si="11"/>
        <v>sadness</v>
      </c>
      <c r="AC39" t="s">
        <v>656</v>
      </c>
    </row>
    <row r="40" spans="2:42" x14ac:dyDescent="0.25">
      <c r="B40" s="5">
        <v>38</v>
      </c>
      <c r="C40" t="s">
        <v>1</v>
      </c>
      <c r="D40" t="s">
        <v>1</v>
      </c>
      <c r="E40" t="s">
        <v>2</v>
      </c>
      <c r="F40" t="s">
        <v>1</v>
      </c>
      <c r="G40" t="s">
        <v>3</v>
      </c>
      <c r="J40" s="15">
        <v>1</v>
      </c>
      <c r="K40" s="5">
        <v>38</v>
      </c>
      <c r="L40" s="8">
        <f t="shared" si="30"/>
        <v>1</v>
      </c>
      <c r="M40" s="8">
        <f t="shared" si="31"/>
        <v>3</v>
      </c>
      <c r="N40" s="8">
        <f t="shared" si="32"/>
        <v>0</v>
      </c>
      <c r="O40" s="8">
        <f t="shared" si="33"/>
        <v>0</v>
      </c>
      <c r="P40" s="8">
        <f t="shared" si="34"/>
        <v>0</v>
      </c>
      <c r="Q40" s="8">
        <f t="shared" si="35"/>
        <v>0</v>
      </c>
      <c r="R40" s="8">
        <f t="shared" si="36"/>
        <v>0</v>
      </c>
      <c r="S40" s="8">
        <f t="shared" si="37"/>
        <v>0</v>
      </c>
      <c r="T40" s="8">
        <f t="shared" si="38"/>
        <v>1</v>
      </c>
      <c r="V40" s="8">
        <f t="shared" si="9"/>
        <v>3</v>
      </c>
      <c r="W40">
        <f t="shared" si="10"/>
        <v>1</v>
      </c>
      <c r="Y40" t="str">
        <f t="shared" si="11"/>
        <v>trust</v>
      </c>
      <c r="AC40">
        <v>23</v>
      </c>
    </row>
    <row r="41" spans="2:42" x14ac:dyDescent="0.25">
      <c r="B41" s="5">
        <v>39</v>
      </c>
      <c r="C41" t="s">
        <v>6</v>
      </c>
      <c r="D41" t="s">
        <v>5</v>
      </c>
      <c r="E41" t="s">
        <v>5</v>
      </c>
      <c r="F41" t="s">
        <v>5</v>
      </c>
      <c r="G41" t="s">
        <v>5</v>
      </c>
      <c r="J41" s="15" t="s">
        <v>654</v>
      </c>
      <c r="K41" s="5">
        <v>39</v>
      </c>
      <c r="L41" s="8">
        <f t="shared" si="30"/>
        <v>0</v>
      </c>
      <c r="M41" s="8">
        <f t="shared" si="31"/>
        <v>0</v>
      </c>
      <c r="N41" s="8">
        <f t="shared" si="32"/>
        <v>1</v>
      </c>
      <c r="O41" s="8">
        <f t="shared" si="33"/>
        <v>0</v>
      </c>
      <c r="P41" s="8">
        <f t="shared" si="34"/>
        <v>4</v>
      </c>
      <c r="Q41" s="8">
        <f t="shared" si="35"/>
        <v>0</v>
      </c>
      <c r="R41" s="8">
        <f t="shared" si="36"/>
        <v>0</v>
      </c>
      <c r="S41" s="8">
        <f t="shared" si="37"/>
        <v>0</v>
      </c>
      <c r="T41" s="8">
        <f t="shared" si="38"/>
        <v>0</v>
      </c>
      <c r="V41" s="8">
        <f t="shared" si="9"/>
        <v>4</v>
      </c>
      <c r="W41">
        <f t="shared" si="10"/>
        <v>1</v>
      </c>
      <c r="Y41" t="str">
        <f t="shared" si="11"/>
        <v>sadness</v>
      </c>
    </row>
    <row r="42" spans="2:42" x14ac:dyDescent="0.25">
      <c r="B42" s="5">
        <v>40</v>
      </c>
      <c r="C42" t="s">
        <v>0</v>
      </c>
      <c r="D42" t="s">
        <v>5</v>
      </c>
      <c r="E42" t="s">
        <v>5</v>
      </c>
      <c r="F42" t="s">
        <v>5</v>
      </c>
      <c r="G42" t="s">
        <v>2</v>
      </c>
      <c r="J42" s="15">
        <v>1</v>
      </c>
      <c r="K42" s="5">
        <v>40</v>
      </c>
      <c r="L42" s="8">
        <f t="shared" si="30"/>
        <v>0</v>
      </c>
      <c r="M42" s="8">
        <f t="shared" si="31"/>
        <v>0</v>
      </c>
      <c r="N42" s="8">
        <f t="shared" si="32"/>
        <v>0</v>
      </c>
      <c r="O42" s="8">
        <f t="shared" si="33"/>
        <v>0</v>
      </c>
      <c r="P42" s="8">
        <f t="shared" si="34"/>
        <v>3</v>
      </c>
      <c r="Q42" s="8">
        <f t="shared" si="35"/>
        <v>1</v>
      </c>
      <c r="R42" s="8">
        <f t="shared" si="36"/>
        <v>0</v>
      </c>
      <c r="S42" s="8">
        <f t="shared" si="37"/>
        <v>0</v>
      </c>
      <c r="T42" s="8">
        <f t="shared" si="38"/>
        <v>1</v>
      </c>
      <c r="V42" s="8">
        <f t="shared" si="9"/>
        <v>3</v>
      </c>
      <c r="W42">
        <f t="shared" si="10"/>
        <v>1</v>
      </c>
      <c r="Y42" t="str">
        <f t="shared" si="11"/>
        <v>sadness</v>
      </c>
    </row>
    <row r="43" spans="2:42" x14ac:dyDescent="0.25">
      <c r="B43" s="5">
        <v>41</v>
      </c>
      <c r="C43" t="s">
        <v>8</v>
      </c>
      <c r="D43" t="s">
        <v>3</v>
      </c>
      <c r="E43" t="s">
        <v>3</v>
      </c>
      <c r="F43" t="s">
        <v>3</v>
      </c>
      <c r="G43" t="s">
        <v>3</v>
      </c>
      <c r="J43" s="15" t="s">
        <v>654</v>
      </c>
      <c r="K43" s="5">
        <v>41</v>
      </c>
      <c r="L43" s="8">
        <f t="shared" si="30"/>
        <v>4</v>
      </c>
      <c r="M43" s="8">
        <f t="shared" si="31"/>
        <v>0</v>
      </c>
      <c r="N43" s="8">
        <f t="shared" si="32"/>
        <v>0</v>
      </c>
      <c r="O43" s="8">
        <f t="shared" si="33"/>
        <v>0</v>
      </c>
      <c r="P43" s="8">
        <f t="shared" si="34"/>
        <v>0</v>
      </c>
      <c r="Q43" s="8">
        <f t="shared" si="35"/>
        <v>0</v>
      </c>
      <c r="R43" s="8">
        <f t="shared" si="36"/>
        <v>0</v>
      </c>
      <c r="S43" s="8">
        <f t="shared" si="37"/>
        <v>1</v>
      </c>
      <c r="T43" s="8">
        <f t="shared" si="38"/>
        <v>0</v>
      </c>
      <c r="V43" s="8">
        <f t="shared" si="9"/>
        <v>4</v>
      </c>
      <c r="W43">
        <f t="shared" si="10"/>
        <v>1</v>
      </c>
      <c r="Y43" t="str">
        <f t="shared" si="11"/>
        <v>joy</v>
      </c>
    </row>
    <row r="44" spans="2:42" x14ac:dyDescent="0.25">
      <c r="B44" s="5">
        <v>42</v>
      </c>
      <c r="C44" t="s">
        <v>5</v>
      </c>
      <c r="D44" t="s">
        <v>5</v>
      </c>
      <c r="E44" t="s">
        <v>2</v>
      </c>
      <c r="F44" t="s">
        <v>5</v>
      </c>
      <c r="G44" t="s">
        <v>3</v>
      </c>
      <c r="J44" s="15">
        <v>1</v>
      </c>
      <c r="K44" s="5">
        <v>42</v>
      </c>
      <c r="L44" s="8">
        <f t="shared" si="30"/>
        <v>1</v>
      </c>
      <c r="M44" s="8">
        <f t="shared" si="31"/>
        <v>0</v>
      </c>
      <c r="N44" s="8">
        <f t="shared" si="32"/>
        <v>0</v>
      </c>
      <c r="O44" s="8">
        <f t="shared" si="33"/>
        <v>0</v>
      </c>
      <c r="P44" s="8">
        <f t="shared" si="34"/>
        <v>3</v>
      </c>
      <c r="Q44" s="8">
        <f t="shared" si="35"/>
        <v>0</v>
      </c>
      <c r="R44" s="8">
        <f t="shared" si="36"/>
        <v>0</v>
      </c>
      <c r="S44" s="8">
        <f t="shared" si="37"/>
        <v>0</v>
      </c>
      <c r="T44" s="8">
        <f t="shared" si="38"/>
        <v>1</v>
      </c>
      <c r="V44" s="8">
        <f t="shared" si="9"/>
        <v>3</v>
      </c>
      <c r="W44">
        <f t="shared" si="10"/>
        <v>1</v>
      </c>
      <c r="Y44" t="str">
        <f t="shared" si="11"/>
        <v>sadness</v>
      </c>
    </row>
    <row r="45" spans="2:42" x14ac:dyDescent="0.25">
      <c r="B45" s="5">
        <v>43</v>
      </c>
      <c r="C45" t="s">
        <v>5</v>
      </c>
      <c r="D45" t="s">
        <v>5</v>
      </c>
      <c r="E45" t="s">
        <v>0</v>
      </c>
      <c r="F45" t="s">
        <v>5</v>
      </c>
      <c r="G45" t="s">
        <v>2</v>
      </c>
      <c r="J45" s="15">
        <v>1</v>
      </c>
      <c r="K45" s="5">
        <v>43</v>
      </c>
      <c r="L45" s="8">
        <f t="shared" si="30"/>
        <v>0</v>
      </c>
      <c r="M45" s="8">
        <f t="shared" si="31"/>
        <v>0</v>
      </c>
      <c r="N45" s="8">
        <f t="shared" si="32"/>
        <v>0</v>
      </c>
      <c r="O45" s="8">
        <f t="shared" si="33"/>
        <v>0</v>
      </c>
      <c r="P45" s="8">
        <f t="shared" si="34"/>
        <v>3</v>
      </c>
      <c r="Q45" s="8">
        <f t="shared" si="35"/>
        <v>1</v>
      </c>
      <c r="R45" s="8">
        <f t="shared" si="36"/>
        <v>0</v>
      </c>
      <c r="S45" s="8">
        <f t="shared" si="37"/>
        <v>0</v>
      </c>
      <c r="T45" s="8">
        <f t="shared" si="38"/>
        <v>1</v>
      </c>
      <c r="V45" s="8">
        <f t="shared" si="9"/>
        <v>3</v>
      </c>
      <c r="W45">
        <f t="shared" si="10"/>
        <v>1</v>
      </c>
      <c r="Y45" t="str">
        <f t="shared" si="11"/>
        <v>sadness</v>
      </c>
    </row>
    <row r="46" spans="2:42" x14ac:dyDescent="0.25">
      <c r="B46" s="5">
        <v>44</v>
      </c>
      <c r="C46" t="s">
        <v>8</v>
      </c>
      <c r="D46" t="s">
        <v>8</v>
      </c>
      <c r="E46" t="s">
        <v>2</v>
      </c>
      <c r="F46" t="s">
        <v>8</v>
      </c>
      <c r="G46" t="s">
        <v>3</v>
      </c>
      <c r="J46" s="15">
        <v>1</v>
      </c>
      <c r="K46" s="5">
        <v>44</v>
      </c>
      <c r="L46" s="8">
        <f t="shared" si="30"/>
        <v>1</v>
      </c>
      <c r="M46" s="8">
        <f t="shared" si="31"/>
        <v>0</v>
      </c>
      <c r="N46" s="8">
        <f t="shared" si="32"/>
        <v>0</v>
      </c>
      <c r="O46" s="8">
        <f t="shared" si="33"/>
        <v>0</v>
      </c>
      <c r="P46" s="8">
        <f t="shared" si="34"/>
        <v>0</v>
      </c>
      <c r="Q46" s="8">
        <f t="shared" si="35"/>
        <v>0</v>
      </c>
      <c r="R46" s="8">
        <f t="shared" si="36"/>
        <v>0</v>
      </c>
      <c r="S46" s="8">
        <f t="shared" si="37"/>
        <v>3</v>
      </c>
      <c r="T46" s="8">
        <f t="shared" si="38"/>
        <v>1</v>
      </c>
      <c r="V46" s="8">
        <f t="shared" si="9"/>
        <v>3</v>
      </c>
      <c r="W46">
        <f t="shared" si="10"/>
        <v>1</v>
      </c>
      <c r="Y46" t="str">
        <f t="shared" si="11"/>
        <v>anticipation</v>
      </c>
    </row>
    <row r="47" spans="2:42" x14ac:dyDescent="0.25">
      <c r="B47" s="5">
        <v>45</v>
      </c>
      <c r="C47" t="s">
        <v>8</v>
      </c>
      <c r="D47" t="s">
        <v>8</v>
      </c>
      <c r="E47" t="s">
        <v>2</v>
      </c>
      <c r="F47" t="s">
        <v>8</v>
      </c>
      <c r="G47" t="s">
        <v>3</v>
      </c>
      <c r="J47" s="15">
        <v>1</v>
      </c>
      <c r="K47" s="5">
        <v>45</v>
      </c>
      <c r="L47" s="8">
        <f t="shared" si="30"/>
        <v>1</v>
      </c>
      <c r="M47" s="8">
        <f t="shared" si="31"/>
        <v>0</v>
      </c>
      <c r="N47" s="8">
        <f t="shared" si="32"/>
        <v>0</v>
      </c>
      <c r="O47" s="8">
        <f t="shared" si="33"/>
        <v>0</v>
      </c>
      <c r="P47" s="8">
        <f t="shared" si="34"/>
        <v>0</v>
      </c>
      <c r="Q47" s="8">
        <f t="shared" si="35"/>
        <v>0</v>
      </c>
      <c r="R47" s="8">
        <f t="shared" si="36"/>
        <v>0</v>
      </c>
      <c r="S47" s="8">
        <f t="shared" si="37"/>
        <v>3</v>
      </c>
      <c r="T47" s="8">
        <f t="shared" si="38"/>
        <v>1</v>
      </c>
      <c r="V47" s="8">
        <f t="shared" si="9"/>
        <v>3</v>
      </c>
      <c r="W47">
        <f t="shared" si="10"/>
        <v>1</v>
      </c>
      <c r="Y47" t="str">
        <f t="shared" si="11"/>
        <v>anticipation</v>
      </c>
    </row>
    <row r="48" spans="2:42" x14ac:dyDescent="0.25">
      <c r="B48" s="5">
        <v>46</v>
      </c>
      <c r="C48" t="s">
        <v>5</v>
      </c>
      <c r="D48" t="s">
        <v>5</v>
      </c>
      <c r="E48" t="s">
        <v>5</v>
      </c>
      <c r="F48" t="s">
        <v>5</v>
      </c>
      <c r="G48" t="s">
        <v>5</v>
      </c>
      <c r="J48" s="15" t="s">
        <v>654</v>
      </c>
      <c r="K48" s="5">
        <v>46</v>
      </c>
      <c r="L48" s="8">
        <f t="shared" si="30"/>
        <v>0</v>
      </c>
      <c r="M48" s="8">
        <f t="shared" si="31"/>
        <v>0</v>
      </c>
      <c r="N48" s="8">
        <f t="shared" si="32"/>
        <v>0</v>
      </c>
      <c r="O48" s="8">
        <f t="shared" si="33"/>
        <v>0</v>
      </c>
      <c r="P48" s="8">
        <f t="shared" si="34"/>
        <v>5</v>
      </c>
      <c r="Q48" s="8">
        <f t="shared" si="35"/>
        <v>0</v>
      </c>
      <c r="R48" s="8">
        <f t="shared" si="36"/>
        <v>0</v>
      </c>
      <c r="S48" s="8">
        <f t="shared" si="37"/>
        <v>0</v>
      </c>
      <c r="T48" s="8">
        <f t="shared" si="38"/>
        <v>0</v>
      </c>
      <c r="V48" s="8">
        <f t="shared" si="9"/>
        <v>5</v>
      </c>
      <c r="W48">
        <f t="shared" si="10"/>
        <v>1</v>
      </c>
      <c r="Y48" t="str">
        <f t="shared" si="11"/>
        <v>sadness</v>
      </c>
    </row>
    <row r="49" spans="2:25" x14ac:dyDescent="0.25">
      <c r="B49" s="5">
        <v>47</v>
      </c>
      <c r="C49" t="s">
        <v>4</v>
      </c>
      <c r="D49" t="s">
        <v>6</v>
      </c>
      <c r="E49" t="s">
        <v>2</v>
      </c>
      <c r="F49" t="s">
        <v>6</v>
      </c>
      <c r="G49" t="s">
        <v>6</v>
      </c>
      <c r="J49" s="15">
        <v>1</v>
      </c>
      <c r="K49" s="5">
        <v>47</v>
      </c>
      <c r="L49" s="8">
        <f t="shared" si="30"/>
        <v>0</v>
      </c>
      <c r="M49" s="8">
        <f t="shared" si="31"/>
        <v>0</v>
      </c>
      <c r="N49" s="8">
        <f t="shared" si="32"/>
        <v>3</v>
      </c>
      <c r="O49" s="8">
        <f t="shared" si="33"/>
        <v>0</v>
      </c>
      <c r="P49" s="8">
        <f t="shared" si="34"/>
        <v>0</v>
      </c>
      <c r="Q49" s="8">
        <f t="shared" si="35"/>
        <v>0</v>
      </c>
      <c r="R49" s="8">
        <f t="shared" si="36"/>
        <v>1</v>
      </c>
      <c r="S49" s="8">
        <f t="shared" si="37"/>
        <v>0</v>
      </c>
      <c r="T49" s="8">
        <f t="shared" si="38"/>
        <v>1</v>
      </c>
      <c r="V49" s="8">
        <f t="shared" si="9"/>
        <v>3</v>
      </c>
      <c r="W49">
        <f t="shared" si="10"/>
        <v>1</v>
      </c>
      <c r="Y49" t="str">
        <f t="shared" si="11"/>
        <v>fear</v>
      </c>
    </row>
    <row r="50" spans="2:25" x14ac:dyDescent="0.25">
      <c r="B50" s="5">
        <v>48</v>
      </c>
      <c r="C50" t="s">
        <v>6</v>
      </c>
      <c r="D50" t="s">
        <v>3</v>
      </c>
      <c r="E50" t="s">
        <v>3</v>
      </c>
      <c r="F50" t="s">
        <v>3</v>
      </c>
      <c r="G50" t="s">
        <v>3</v>
      </c>
      <c r="J50" s="15" t="s">
        <v>654</v>
      </c>
      <c r="K50" s="5">
        <v>48</v>
      </c>
      <c r="L50" s="8">
        <f t="shared" si="30"/>
        <v>4</v>
      </c>
      <c r="M50" s="8">
        <f t="shared" si="31"/>
        <v>0</v>
      </c>
      <c r="N50" s="8">
        <f t="shared" si="32"/>
        <v>1</v>
      </c>
      <c r="O50" s="8">
        <f t="shared" si="33"/>
        <v>0</v>
      </c>
      <c r="P50" s="8">
        <f t="shared" si="34"/>
        <v>0</v>
      </c>
      <c r="Q50" s="8">
        <f t="shared" si="35"/>
        <v>0</v>
      </c>
      <c r="R50" s="8">
        <f t="shared" si="36"/>
        <v>0</v>
      </c>
      <c r="S50" s="8">
        <f t="shared" si="37"/>
        <v>0</v>
      </c>
      <c r="T50" s="8">
        <f t="shared" si="38"/>
        <v>0</v>
      </c>
      <c r="V50" s="8">
        <f t="shared" si="9"/>
        <v>4</v>
      </c>
      <c r="W50">
        <f t="shared" si="10"/>
        <v>1</v>
      </c>
      <c r="Y50" t="str">
        <f t="shared" si="11"/>
        <v>joy</v>
      </c>
    </row>
    <row r="51" spans="2:25" x14ac:dyDescent="0.25">
      <c r="B51" s="5">
        <v>49</v>
      </c>
      <c r="C51" t="s">
        <v>5</v>
      </c>
      <c r="D51" t="s">
        <v>5</v>
      </c>
      <c r="E51" t="s">
        <v>5</v>
      </c>
      <c r="F51" t="s">
        <v>5</v>
      </c>
      <c r="G51" t="s">
        <v>5</v>
      </c>
      <c r="J51" s="15" t="s">
        <v>654</v>
      </c>
      <c r="K51" s="5">
        <v>49</v>
      </c>
      <c r="L51" s="8">
        <f t="shared" si="30"/>
        <v>0</v>
      </c>
      <c r="M51" s="8">
        <f t="shared" si="31"/>
        <v>0</v>
      </c>
      <c r="N51" s="8">
        <f t="shared" si="32"/>
        <v>0</v>
      </c>
      <c r="O51" s="8">
        <f t="shared" si="33"/>
        <v>0</v>
      </c>
      <c r="P51" s="8">
        <f t="shared" si="34"/>
        <v>5</v>
      </c>
      <c r="Q51" s="8">
        <f t="shared" si="35"/>
        <v>0</v>
      </c>
      <c r="R51" s="8">
        <f t="shared" si="36"/>
        <v>0</v>
      </c>
      <c r="S51" s="8">
        <f t="shared" si="37"/>
        <v>0</v>
      </c>
      <c r="T51" s="8">
        <f t="shared" si="38"/>
        <v>0</v>
      </c>
      <c r="V51" s="8">
        <f t="shared" si="9"/>
        <v>5</v>
      </c>
      <c r="W51">
        <f t="shared" si="10"/>
        <v>1</v>
      </c>
      <c r="Y51" t="str">
        <f t="shared" si="11"/>
        <v>sadness</v>
      </c>
    </row>
    <row r="52" spans="2:25" x14ac:dyDescent="0.25">
      <c r="B52" s="5">
        <v>50</v>
      </c>
      <c r="C52" t="s">
        <v>3</v>
      </c>
      <c r="D52" t="s">
        <v>3</v>
      </c>
      <c r="E52" t="s">
        <v>3</v>
      </c>
      <c r="F52" t="s">
        <v>3</v>
      </c>
      <c r="G52" t="s">
        <v>3</v>
      </c>
      <c r="J52" s="15" t="s">
        <v>654</v>
      </c>
      <c r="K52" s="5">
        <v>50</v>
      </c>
      <c r="L52" s="8">
        <f t="shared" si="30"/>
        <v>5</v>
      </c>
      <c r="M52" s="8">
        <f t="shared" si="31"/>
        <v>0</v>
      </c>
      <c r="N52" s="8">
        <f t="shared" si="32"/>
        <v>0</v>
      </c>
      <c r="O52" s="8">
        <f t="shared" si="33"/>
        <v>0</v>
      </c>
      <c r="P52" s="8">
        <f t="shared" si="34"/>
        <v>0</v>
      </c>
      <c r="Q52" s="8">
        <f t="shared" si="35"/>
        <v>0</v>
      </c>
      <c r="R52" s="8">
        <f t="shared" si="36"/>
        <v>0</v>
      </c>
      <c r="S52" s="8">
        <f t="shared" si="37"/>
        <v>0</v>
      </c>
      <c r="T52" s="8">
        <f t="shared" si="38"/>
        <v>0</v>
      </c>
      <c r="V52" s="8">
        <f t="shared" si="9"/>
        <v>5</v>
      </c>
      <c r="W52">
        <f t="shared" si="10"/>
        <v>1</v>
      </c>
      <c r="Y52" t="str">
        <f t="shared" si="11"/>
        <v>joy</v>
      </c>
    </row>
    <row r="53" spans="2:25" x14ac:dyDescent="0.25">
      <c r="B53" s="5">
        <v>51</v>
      </c>
      <c r="C53" t="s">
        <v>1</v>
      </c>
      <c r="D53" t="s">
        <v>1</v>
      </c>
      <c r="E53" t="s">
        <v>2</v>
      </c>
      <c r="F53" t="s">
        <v>1</v>
      </c>
      <c r="G53" t="s">
        <v>6</v>
      </c>
      <c r="J53" s="15">
        <v>1</v>
      </c>
      <c r="K53" s="5">
        <v>51</v>
      </c>
      <c r="L53" s="8">
        <f t="shared" si="30"/>
        <v>0</v>
      </c>
      <c r="M53" s="8">
        <f t="shared" si="31"/>
        <v>3</v>
      </c>
      <c r="N53" s="8">
        <f t="shared" si="32"/>
        <v>1</v>
      </c>
      <c r="O53" s="8">
        <f t="shared" si="33"/>
        <v>0</v>
      </c>
      <c r="P53" s="8">
        <f t="shared" si="34"/>
        <v>0</v>
      </c>
      <c r="Q53" s="8">
        <f t="shared" si="35"/>
        <v>0</v>
      </c>
      <c r="R53" s="8">
        <f t="shared" si="36"/>
        <v>0</v>
      </c>
      <c r="S53" s="8">
        <f t="shared" si="37"/>
        <v>0</v>
      </c>
      <c r="T53" s="8">
        <f t="shared" si="38"/>
        <v>1</v>
      </c>
      <c r="V53" s="8">
        <f t="shared" si="9"/>
        <v>3</v>
      </c>
      <c r="W53">
        <f t="shared" si="10"/>
        <v>1</v>
      </c>
      <c r="Y53" t="str">
        <f t="shared" si="11"/>
        <v>trust</v>
      </c>
    </row>
    <row r="54" spans="2:25" x14ac:dyDescent="0.25">
      <c r="B54" s="5">
        <v>52</v>
      </c>
      <c r="C54" t="s">
        <v>3</v>
      </c>
      <c r="D54" t="s">
        <v>3</v>
      </c>
      <c r="E54" t="s">
        <v>3</v>
      </c>
      <c r="F54" t="s">
        <v>3</v>
      </c>
      <c r="G54" t="s">
        <v>3</v>
      </c>
      <c r="J54" s="15" t="s">
        <v>654</v>
      </c>
      <c r="K54" s="5">
        <v>52</v>
      </c>
      <c r="L54" s="8">
        <f t="shared" si="30"/>
        <v>5</v>
      </c>
      <c r="M54" s="8">
        <f t="shared" si="31"/>
        <v>0</v>
      </c>
      <c r="N54" s="8">
        <f t="shared" si="32"/>
        <v>0</v>
      </c>
      <c r="O54" s="8">
        <f t="shared" si="33"/>
        <v>0</v>
      </c>
      <c r="P54" s="8">
        <f t="shared" si="34"/>
        <v>0</v>
      </c>
      <c r="Q54" s="8">
        <f t="shared" si="35"/>
        <v>0</v>
      </c>
      <c r="R54" s="8">
        <f t="shared" si="36"/>
        <v>0</v>
      </c>
      <c r="S54" s="8">
        <f t="shared" si="37"/>
        <v>0</v>
      </c>
      <c r="T54" s="8">
        <f t="shared" si="38"/>
        <v>0</v>
      </c>
      <c r="V54" s="8">
        <f t="shared" si="9"/>
        <v>5</v>
      </c>
      <c r="W54">
        <f t="shared" si="10"/>
        <v>1</v>
      </c>
      <c r="Y54" t="str">
        <f t="shared" si="11"/>
        <v>joy</v>
      </c>
    </row>
    <row r="55" spans="2:25" x14ac:dyDescent="0.25">
      <c r="B55" s="5">
        <v>53</v>
      </c>
      <c r="C55" t="s">
        <v>5</v>
      </c>
      <c r="D55" t="s">
        <v>5</v>
      </c>
      <c r="E55" t="s">
        <v>8</v>
      </c>
      <c r="F55" t="s">
        <v>5</v>
      </c>
      <c r="G55" t="s">
        <v>5</v>
      </c>
      <c r="J55" s="15" t="s">
        <v>654</v>
      </c>
      <c r="K55" s="5">
        <v>53</v>
      </c>
      <c r="L55" s="8">
        <f t="shared" si="30"/>
        <v>0</v>
      </c>
      <c r="M55" s="8">
        <f t="shared" si="31"/>
        <v>0</v>
      </c>
      <c r="N55" s="8">
        <f t="shared" si="32"/>
        <v>0</v>
      </c>
      <c r="O55" s="8">
        <f t="shared" si="33"/>
        <v>0</v>
      </c>
      <c r="P55" s="8">
        <f t="shared" si="34"/>
        <v>4</v>
      </c>
      <c r="Q55" s="8">
        <f t="shared" si="35"/>
        <v>0</v>
      </c>
      <c r="R55" s="8">
        <f t="shared" si="36"/>
        <v>0</v>
      </c>
      <c r="S55" s="8">
        <f t="shared" si="37"/>
        <v>1</v>
      </c>
      <c r="T55" s="8">
        <f t="shared" si="38"/>
        <v>0</v>
      </c>
      <c r="V55" s="8">
        <f t="shared" si="9"/>
        <v>4</v>
      </c>
      <c r="W55">
        <f t="shared" si="10"/>
        <v>1</v>
      </c>
      <c r="Y55" t="str">
        <f t="shared" si="11"/>
        <v>sadness</v>
      </c>
    </row>
    <row r="56" spans="2:25" x14ac:dyDescent="0.25">
      <c r="B56" s="5">
        <v>54</v>
      </c>
      <c r="C56" t="s">
        <v>5</v>
      </c>
      <c r="D56" t="s">
        <v>5</v>
      </c>
      <c r="E56" t="s">
        <v>8</v>
      </c>
      <c r="F56" t="s">
        <v>5</v>
      </c>
      <c r="G56" t="s">
        <v>2</v>
      </c>
      <c r="J56" s="15">
        <v>1</v>
      </c>
      <c r="K56" s="5">
        <v>54</v>
      </c>
      <c r="L56" s="8">
        <f t="shared" si="30"/>
        <v>0</v>
      </c>
      <c r="M56" s="8">
        <f t="shared" si="31"/>
        <v>0</v>
      </c>
      <c r="N56" s="8">
        <f t="shared" si="32"/>
        <v>0</v>
      </c>
      <c r="O56" s="8">
        <f t="shared" si="33"/>
        <v>0</v>
      </c>
      <c r="P56" s="8">
        <f t="shared" si="34"/>
        <v>3</v>
      </c>
      <c r="Q56" s="8">
        <f t="shared" si="35"/>
        <v>0</v>
      </c>
      <c r="R56" s="8">
        <f t="shared" si="36"/>
        <v>0</v>
      </c>
      <c r="S56" s="8">
        <f t="shared" si="37"/>
        <v>1</v>
      </c>
      <c r="T56" s="8">
        <f t="shared" si="38"/>
        <v>1</v>
      </c>
      <c r="V56" s="8">
        <f t="shared" si="9"/>
        <v>3</v>
      </c>
      <c r="W56">
        <f t="shared" si="10"/>
        <v>1</v>
      </c>
      <c r="Y56" t="str">
        <f t="shared" si="11"/>
        <v>sadness</v>
      </c>
    </row>
    <row r="57" spans="2:25" x14ac:dyDescent="0.25">
      <c r="B57" s="5">
        <v>55</v>
      </c>
      <c r="C57" t="s">
        <v>4</v>
      </c>
      <c r="D57" t="s">
        <v>5</v>
      </c>
      <c r="E57" t="s">
        <v>3</v>
      </c>
      <c r="F57" t="s">
        <v>5</v>
      </c>
      <c r="G57" t="s">
        <v>5</v>
      </c>
      <c r="J57" s="15">
        <v>1</v>
      </c>
      <c r="K57" s="5">
        <v>55</v>
      </c>
      <c r="L57" s="8">
        <f t="shared" ref="L57:L120" si="56">COUNTIFS(C57:G57, "joy")</f>
        <v>1</v>
      </c>
      <c r="M57" s="8">
        <f t="shared" ref="M57:M120" si="57">COUNTIFS(C57:G57, "trust")</f>
        <v>0</v>
      </c>
      <c r="N57" s="8">
        <f t="shared" ref="N57:N120" si="58">COUNTIFS(C57:G57, "fear")</f>
        <v>0</v>
      </c>
      <c r="O57" s="8">
        <f t="shared" ref="O57:O120" si="59">COUNTIFS(C57:G57, "surprise")</f>
        <v>0</v>
      </c>
      <c r="P57" s="8">
        <f t="shared" ref="P57:P120" si="60">COUNTIFS(C57:G57, "sadness")</f>
        <v>3</v>
      </c>
      <c r="Q57" s="8">
        <f t="shared" ref="Q57:Q120" si="61">COUNTIFS(C57:G57, "disgust")</f>
        <v>0</v>
      </c>
      <c r="R57" s="8">
        <f t="shared" ref="R57:R120" si="62">COUNTIFS(C57:G57, "anger")</f>
        <v>1</v>
      </c>
      <c r="S57" s="8">
        <f t="shared" ref="S57:S120" si="63">COUNTIFS(C57:G57, "anticipation")</f>
        <v>0</v>
      </c>
      <c r="T57" s="8">
        <f t="shared" ref="T57:T120" si="64">COUNTIFS(C57:G57, "AMBIGUOUS")</f>
        <v>0</v>
      </c>
      <c r="V57" s="8">
        <f t="shared" si="9"/>
        <v>3</v>
      </c>
      <c r="W57">
        <f t="shared" si="10"/>
        <v>1</v>
      </c>
      <c r="Y57" t="str">
        <f t="shared" si="11"/>
        <v>sadness</v>
      </c>
    </row>
    <row r="58" spans="2:25" x14ac:dyDescent="0.25">
      <c r="B58" s="5">
        <v>56</v>
      </c>
      <c r="C58" t="s">
        <v>1</v>
      </c>
      <c r="D58" t="s">
        <v>1</v>
      </c>
      <c r="E58" t="s">
        <v>2</v>
      </c>
      <c r="F58" t="s">
        <v>1</v>
      </c>
      <c r="G58" t="s">
        <v>5</v>
      </c>
      <c r="J58" s="15">
        <v>1</v>
      </c>
      <c r="K58" s="5">
        <v>56</v>
      </c>
      <c r="L58" s="8">
        <f t="shared" si="56"/>
        <v>0</v>
      </c>
      <c r="M58" s="8">
        <f t="shared" si="57"/>
        <v>3</v>
      </c>
      <c r="N58" s="8">
        <f t="shared" si="58"/>
        <v>0</v>
      </c>
      <c r="O58" s="8">
        <f t="shared" si="59"/>
        <v>0</v>
      </c>
      <c r="P58" s="8">
        <f t="shared" si="60"/>
        <v>1</v>
      </c>
      <c r="Q58" s="8">
        <f t="shared" si="61"/>
        <v>0</v>
      </c>
      <c r="R58" s="8">
        <f t="shared" si="62"/>
        <v>0</v>
      </c>
      <c r="S58" s="8">
        <f t="shared" si="63"/>
        <v>0</v>
      </c>
      <c r="T58" s="8">
        <f t="shared" si="64"/>
        <v>1</v>
      </c>
      <c r="V58" s="8">
        <f t="shared" si="9"/>
        <v>3</v>
      </c>
      <c r="W58">
        <f t="shared" si="10"/>
        <v>1</v>
      </c>
      <c r="Y58" t="str">
        <f t="shared" si="11"/>
        <v>trust</v>
      </c>
    </row>
    <row r="59" spans="2:25" x14ac:dyDescent="0.25">
      <c r="B59" s="5">
        <v>57</v>
      </c>
      <c r="C59" t="s">
        <v>3</v>
      </c>
      <c r="D59" t="s">
        <v>3</v>
      </c>
      <c r="E59" t="s">
        <v>2</v>
      </c>
      <c r="F59" t="s">
        <v>3</v>
      </c>
      <c r="G59" t="s">
        <v>5</v>
      </c>
      <c r="J59" s="15">
        <v>1</v>
      </c>
      <c r="K59" s="5">
        <v>57</v>
      </c>
      <c r="L59" s="8">
        <f t="shared" si="56"/>
        <v>3</v>
      </c>
      <c r="M59" s="8">
        <f t="shared" si="57"/>
        <v>0</v>
      </c>
      <c r="N59" s="8">
        <f t="shared" si="58"/>
        <v>0</v>
      </c>
      <c r="O59" s="8">
        <f t="shared" si="59"/>
        <v>0</v>
      </c>
      <c r="P59" s="8">
        <f t="shared" si="60"/>
        <v>1</v>
      </c>
      <c r="Q59" s="8">
        <f t="shared" si="61"/>
        <v>0</v>
      </c>
      <c r="R59" s="8">
        <f t="shared" si="62"/>
        <v>0</v>
      </c>
      <c r="S59" s="8">
        <f t="shared" si="63"/>
        <v>0</v>
      </c>
      <c r="T59" s="8">
        <f t="shared" si="64"/>
        <v>1</v>
      </c>
      <c r="V59" s="8">
        <f t="shared" si="9"/>
        <v>3</v>
      </c>
      <c r="W59">
        <f t="shared" si="10"/>
        <v>1</v>
      </c>
      <c r="Y59" t="str">
        <f t="shared" si="11"/>
        <v>joy</v>
      </c>
    </row>
    <row r="60" spans="2:25" x14ac:dyDescent="0.25">
      <c r="B60" s="5">
        <v>58</v>
      </c>
      <c r="C60" t="s">
        <v>3</v>
      </c>
      <c r="D60" t="s">
        <v>2</v>
      </c>
      <c r="E60" t="s">
        <v>2</v>
      </c>
      <c r="F60" t="s">
        <v>2</v>
      </c>
      <c r="G60" t="s">
        <v>2</v>
      </c>
      <c r="J60" s="15" t="s">
        <v>654</v>
      </c>
      <c r="K60" s="5">
        <v>58</v>
      </c>
      <c r="L60" s="8">
        <f t="shared" si="56"/>
        <v>1</v>
      </c>
      <c r="M60" s="8">
        <f t="shared" si="57"/>
        <v>0</v>
      </c>
      <c r="N60" s="8">
        <f t="shared" si="58"/>
        <v>0</v>
      </c>
      <c r="O60" s="8">
        <f t="shared" si="59"/>
        <v>0</v>
      </c>
      <c r="P60" s="8">
        <f t="shared" si="60"/>
        <v>0</v>
      </c>
      <c r="Q60" s="8">
        <f t="shared" si="61"/>
        <v>0</v>
      </c>
      <c r="R60" s="8">
        <f t="shared" si="62"/>
        <v>0</v>
      </c>
      <c r="S60" s="8">
        <f t="shared" si="63"/>
        <v>0</v>
      </c>
      <c r="T60" s="8">
        <f t="shared" si="64"/>
        <v>4</v>
      </c>
      <c r="V60" s="8">
        <f t="shared" si="9"/>
        <v>4</v>
      </c>
      <c r="W60">
        <f t="shared" si="10"/>
        <v>1</v>
      </c>
      <c r="Y60" t="str">
        <f t="shared" si="11"/>
        <v>AMBIGUOUS</v>
      </c>
    </row>
    <row r="61" spans="2:25" x14ac:dyDescent="0.25">
      <c r="B61" s="5">
        <v>59</v>
      </c>
      <c r="C61" t="s">
        <v>4</v>
      </c>
      <c r="D61" t="s">
        <v>4</v>
      </c>
      <c r="E61" t="s">
        <v>8</v>
      </c>
      <c r="F61" t="s">
        <v>4</v>
      </c>
      <c r="G61" t="s">
        <v>0</v>
      </c>
      <c r="J61" s="15">
        <v>1</v>
      </c>
      <c r="K61" s="5">
        <v>59</v>
      </c>
      <c r="L61" s="8">
        <f t="shared" si="56"/>
        <v>0</v>
      </c>
      <c r="M61" s="8">
        <f t="shared" si="57"/>
        <v>0</v>
      </c>
      <c r="N61" s="8">
        <f t="shared" si="58"/>
        <v>0</v>
      </c>
      <c r="O61" s="8">
        <f t="shared" si="59"/>
        <v>0</v>
      </c>
      <c r="P61" s="8">
        <f t="shared" si="60"/>
        <v>0</v>
      </c>
      <c r="Q61" s="8">
        <f t="shared" si="61"/>
        <v>1</v>
      </c>
      <c r="R61" s="8">
        <f t="shared" si="62"/>
        <v>3</v>
      </c>
      <c r="S61" s="8">
        <f t="shared" si="63"/>
        <v>1</v>
      </c>
      <c r="T61" s="8">
        <f t="shared" si="64"/>
        <v>0</v>
      </c>
      <c r="V61" s="8">
        <f t="shared" si="9"/>
        <v>3</v>
      </c>
      <c r="W61">
        <f t="shared" si="10"/>
        <v>1</v>
      </c>
      <c r="Y61" t="str">
        <f t="shared" si="11"/>
        <v>anger</v>
      </c>
    </row>
    <row r="62" spans="2:25" x14ac:dyDescent="0.25">
      <c r="B62" s="5">
        <v>60</v>
      </c>
      <c r="C62" t="s">
        <v>1</v>
      </c>
      <c r="D62" t="s">
        <v>3</v>
      </c>
      <c r="E62" t="s">
        <v>3</v>
      </c>
      <c r="F62" t="s">
        <v>3</v>
      </c>
      <c r="G62" t="s">
        <v>3</v>
      </c>
      <c r="J62" s="15" t="s">
        <v>654</v>
      </c>
      <c r="K62" s="5">
        <v>60</v>
      </c>
      <c r="L62" s="8">
        <f t="shared" si="56"/>
        <v>4</v>
      </c>
      <c r="M62" s="8">
        <f t="shared" si="57"/>
        <v>1</v>
      </c>
      <c r="N62" s="8">
        <f t="shared" si="58"/>
        <v>0</v>
      </c>
      <c r="O62" s="8">
        <f t="shared" si="59"/>
        <v>0</v>
      </c>
      <c r="P62" s="8">
        <f t="shared" si="60"/>
        <v>0</v>
      </c>
      <c r="Q62" s="8">
        <f t="shared" si="61"/>
        <v>0</v>
      </c>
      <c r="R62" s="8">
        <f t="shared" si="62"/>
        <v>0</v>
      </c>
      <c r="S62" s="8">
        <f t="shared" si="63"/>
        <v>0</v>
      </c>
      <c r="T62" s="8">
        <f t="shared" si="64"/>
        <v>0</v>
      </c>
      <c r="V62" s="8">
        <f t="shared" si="9"/>
        <v>4</v>
      </c>
      <c r="W62">
        <f t="shared" si="10"/>
        <v>1</v>
      </c>
      <c r="Y62" t="str">
        <f t="shared" si="11"/>
        <v>joy</v>
      </c>
    </row>
    <row r="63" spans="2:25" x14ac:dyDescent="0.25">
      <c r="B63" s="5">
        <v>61</v>
      </c>
      <c r="C63" t="s">
        <v>8</v>
      </c>
      <c r="D63" t="s">
        <v>8</v>
      </c>
      <c r="E63" t="s">
        <v>2</v>
      </c>
      <c r="F63" t="s">
        <v>8</v>
      </c>
      <c r="G63" t="s">
        <v>3</v>
      </c>
      <c r="J63" s="15">
        <v>1</v>
      </c>
      <c r="K63" s="5">
        <v>61</v>
      </c>
      <c r="L63" s="8">
        <f t="shared" si="56"/>
        <v>1</v>
      </c>
      <c r="M63" s="8">
        <f t="shared" si="57"/>
        <v>0</v>
      </c>
      <c r="N63" s="8">
        <f t="shared" si="58"/>
        <v>0</v>
      </c>
      <c r="O63" s="8">
        <f t="shared" si="59"/>
        <v>0</v>
      </c>
      <c r="P63" s="8">
        <f t="shared" si="60"/>
        <v>0</v>
      </c>
      <c r="Q63" s="8">
        <f t="shared" si="61"/>
        <v>0</v>
      </c>
      <c r="R63" s="8">
        <f t="shared" si="62"/>
        <v>0</v>
      </c>
      <c r="S63" s="8">
        <f t="shared" si="63"/>
        <v>3</v>
      </c>
      <c r="T63" s="8">
        <f t="shared" si="64"/>
        <v>1</v>
      </c>
      <c r="V63" s="8">
        <f t="shared" si="9"/>
        <v>3</v>
      </c>
      <c r="W63">
        <f t="shared" si="10"/>
        <v>1</v>
      </c>
      <c r="Y63" t="str">
        <f t="shared" si="11"/>
        <v>anticipation</v>
      </c>
    </row>
    <row r="64" spans="2:25" x14ac:dyDescent="0.25">
      <c r="B64" s="5">
        <v>62</v>
      </c>
      <c r="C64" t="s">
        <v>1</v>
      </c>
      <c r="D64" t="s">
        <v>1</v>
      </c>
      <c r="E64" t="s">
        <v>2</v>
      </c>
      <c r="F64" t="s">
        <v>1</v>
      </c>
      <c r="G64" t="s">
        <v>5</v>
      </c>
      <c r="J64" s="15">
        <v>1</v>
      </c>
      <c r="K64" s="5">
        <v>62</v>
      </c>
      <c r="L64" s="8">
        <f t="shared" si="56"/>
        <v>0</v>
      </c>
      <c r="M64" s="8">
        <f t="shared" si="57"/>
        <v>3</v>
      </c>
      <c r="N64" s="8">
        <f t="shared" si="58"/>
        <v>0</v>
      </c>
      <c r="O64" s="8">
        <f t="shared" si="59"/>
        <v>0</v>
      </c>
      <c r="P64" s="8">
        <f t="shared" si="60"/>
        <v>1</v>
      </c>
      <c r="Q64" s="8">
        <f t="shared" si="61"/>
        <v>0</v>
      </c>
      <c r="R64" s="8">
        <f t="shared" si="62"/>
        <v>0</v>
      </c>
      <c r="S64" s="8">
        <f t="shared" si="63"/>
        <v>0</v>
      </c>
      <c r="T64" s="8">
        <f t="shared" si="64"/>
        <v>1</v>
      </c>
      <c r="V64" s="8">
        <f t="shared" si="9"/>
        <v>3</v>
      </c>
      <c r="W64">
        <f t="shared" si="10"/>
        <v>1</v>
      </c>
      <c r="Y64" t="str">
        <f t="shared" si="11"/>
        <v>trust</v>
      </c>
    </row>
    <row r="65" spans="2:28" x14ac:dyDescent="0.25">
      <c r="B65" s="5">
        <v>63</v>
      </c>
      <c r="C65" t="s">
        <v>1</v>
      </c>
      <c r="D65" t="s">
        <v>1</v>
      </c>
      <c r="E65" t="s">
        <v>2</v>
      </c>
      <c r="F65" t="s">
        <v>1</v>
      </c>
      <c r="G65" t="s">
        <v>3</v>
      </c>
      <c r="J65" s="15">
        <v>1</v>
      </c>
      <c r="K65" s="5">
        <v>63</v>
      </c>
      <c r="L65" s="8">
        <f t="shared" si="56"/>
        <v>1</v>
      </c>
      <c r="M65" s="8">
        <f t="shared" si="57"/>
        <v>3</v>
      </c>
      <c r="N65" s="8">
        <f t="shared" si="58"/>
        <v>0</v>
      </c>
      <c r="O65" s="8">
        <f t="shared" si="59"/>
        <v>0</v>
      </c>
      <c r="P65" s="8">
        <f t="shared" si="60"/>
        <v>0</v>
      </c>
      <c r="Q65" s="8">
        <f t="shared" si="61"/>
        <v>0</v>
      </c>
      <c r="R65" s="8">
        <f t="shared" si="62"/>
        <v>0</v>
      </c>
      <c r="S65" s="8">
        <f t="shared" si="63"/>
        <v>0</v>
      </c>
      <c r="T65" s="8">
        <f t="shared" si="64"/>
        <v>1</v>
      </c>
      <c r="V65" s="8">
        <f t="shared" si="9"/>
        <v>3</v>
      </c>
      <c r="W65">
        <f t="shared" si="10"/>
        <v>1</v>
      </c>
      <c r="Y65" t="str">
        <f t="shared" si="11"/>
        <v>trust</v>
      </c>
    </row>
    <row r="66" spans="2:28" x14ac:dyDescent="0.25">
      <c r="B66" s="5">
        <v>64</v>
      </c>
      <c r="C66" t="s">
        <v>4</v>
      </c>
      <c r="D66" t="s">
        <v>3</v>
      </c>
      <c r="E66" t="s">
        <v>2</v>
      </c>
      <c r="F66" t="s">
        <v>3</v>
      </c>
      <c r="G66" t="s">
        <v>3</v>
      </c>
      <c r="J66" s="15">
        <v>1</v>
      </c>
      <c r="K66" s="5">
        <v>64</v>
      </c>
      <c r="L66" s="8">
        <f t="shared" si="56"/>
        <v>3</v>
      </c>
      <c r="M66" s="8">
        <f t="shared" si="57"/>
        <v>0</v>
      </c>
      <c r="N66" s="8">
        <f t="shared" si="58"/>
        <v>0</v>
      </c>
      <c r="O66" s="8">
        <f t="shared" si="59"/>
        <v>0</v>
      </c>
      <c r="P66" s="8">
        <f t="shared" si="60"/>
        <v>0</v>
      </c>
      <c r="Q66" s="8">
        <f t="shared" si="61"/>
        <v>0</v>
      </c>
      <c r="R66" s="8">
        <f t="shared" si="62"/>
        <v>1</v>
      </c>
      <c r="S66" s="8">
        <f t="shared" si="63"/>
        <v>0</v>
      </c>
      <c r="T66" s="8">
        <f t="shared" si="64"/>
        <v>1</v>
      </c>
      <c r="V66" s="8">
        <f t="shared" si="9"/>
        <v>3</v>
      </c>
      <c r="W66">
        <f t="shared" si="10"/>
        <v>1</v>
      </c>
      <c r="Y66" t="str">
        <f>INDEX($L$2:$T$2,MATCH(MAX(L66:T66),L66:T66,0))</f>
        <v>joy</v>
      </c>
    </row>
    <row r="67" spans="2:28" x14ac:dyDescent="0.25">
      <c r="B67" s="5">
        <v>65</v>
      </c>
      <c r="C67" t="s">
        <v>1</v>
      </c>
      <c r="D67" t="s">
        <v>1</v>
      </c>
      <c r="E67" t="s">
        <v>5</v>
      </c>
      <c r="F67" t="s">
        <v>1</v>
      </c>
      <c r="G67" t="s">
        <v>3</v>
      </c>
      <c r="J67" s="15">
        <v>1</v>
      </c>
      <c r="K67" s="5">
        <v>65</v>
      </c>
      <c r="L67" s="8">
        <f t="shared" si="56"/>
        <v>1</v>
      </c>
      <c r="M67" s="8">
        <f t="shared" si="57"/>
        <v>3</v>
      </c>
      <c r="N67" s="8">
        <f t="shared" si="58"/>
        <v>0</v>
      </c>
      <c r="O67" s="8">
        <f t="shared" si="59"/>
        <v>0</v>
      </c>
      <c r="P67" s="8">
        <f t="shared" si="60"/>
        <v>1</v>
      </c>
      <c r="Q67" s="8">
        <f t="shared" si="61"/>
        <v>0</v>
      </c>
      <c r="R67" s="8">
        <f t="shared" si="62"/>
        <v>0</v>
      </c>
      <c r="S67" s="8">
        <f t="shared" si="63"/>
        <v>0</v>
      </c>
      <c r="T67" s="8">
        <f t="shared" si="64"/>
        <v>0</v>
      </c>
      <c r="V67" s="8">
        <f t="shared" si="9"/>
        <v>3</v>
      </c>
      <c r="W67">
        <f t="shared" si="10"/>
        <v>1</v>
      </c>
      <c r="Y67" t="str">
        <f t="shared" si="11"/>
        <v>trust</v>
      </c>
    </row>
    <row r="68" spans="2:28" x14ac:dyDescent="0.25">
      <c r="B68" s="5">
        <v>66</v>
      </c>
      <c r="C68" t="s">
        <v>8</v>
      </c>
      <c r="D68" t="s">
        <v>3</v>
      </c>
      <c r="E68" t="s">
        <v>3</v>
      </c>
      <c r="F68" t="s">
        <v>3</v>
      </c>
      <c r="G68" t="s">
        <v>3</v>
      </c>
      <c r="J68" s="15" t="s">
        <v>654</v>
      </c>
      <c r="K68" s="5">
        <v>66</v>
      </c>
      <c r="L68" s="8">
        <f t="shared" si="56"/>
        <v>4</v>
      </c>
      <c r="M68" s="8">
        <f t="shared" si="57"/>
        <v>0</v>
      </c>
      <c r="N68" s="8">
        <f t="shared" si="58"/>
        <v>0</v>
      </c>
      <c r="O68" s="8">
        <f t="shared" si="59"/>
        <v>0</v>
      </c>
      <c r="P68" s="8">
        <f t="shared" si="60"/>
        <v>0</v>
      </c>
      <c r="Q68" s="8">
        <f t="shared" si="61"/>
        <v>0</v>
      </c>
      <c r="R68" s="8">
        <f t="shared" si="62"/>
        <v>0</v>
      </c>
      <c r="S68" s="8">
        <f t="shared" si="63"/>
        <v>1</v>
      </c>
      <c r="T68" s="8">
        <f t="shared" si="64"/>
        <v>0</v>
      </c>
      <c r="V68" s="8">
        <f t="shared" ref="V68:V131" si="65">MAX(L68:T68)</f>
        <v>4</v>
      </c>
      <c r="W68">
        <f t="shared" ref="W68:W131" si="66">COUNTIF(L68:T68, "=" &amp; V68)</f>
        <v>1</v>
      </c>
      <c r="Y68" t="str">
        <f t="shared" ref="Y68:Y88" si="67">INDEX($L$2:$T$2,MATCH(MAX(L68:T68),L68:T68,0))</f>
        <v>joy</v>
      </c>
    </row>
    <row r="69" spans="2:28" x14ac:dyDescent="0.25">
      <c r="B69" s="5">
        <v>67</v>
      </c>
      <c r="C69" t="s">
        <v>1</v>
      </c>
      <c r="D69" t="s">
        <v>2</v>
      </c>
      <c r="E69" t="s">
        <v>2</v>
      </c>
      <c r="F69" t="s">
        <v>2</v>
      </c>
      <c r="G69" t="s">
        <v>2</v>
      </c>
      <c r="J69" s="15" t="s">
        <v>654</v>
      </c>
      <c r="K69" s="5">
        <v>67</v>
      </c>
      <c r="L69" s="8">
        <f t="shared" si="56"/>
        <v>0</v>
      </c>
      <c r="M69" s="8">
        <f t="shared" si="57"/>
        <v>1</v>
      </c>
      <c r="N69" s="8">
        <f t="shared" si="58"/>
        <v>0</v>
      </c>
      <c r="O69" s="8">
        <f t="shared" si="59"/>
        <v>0</v>
      </c>
      <c r="P69" s="8">
        <f t="shared" si="60"/>
        <v>0</v>
      </c>
      <c r="Q69" s="8">
        <f t="shared" si="61"/>
        <v>0</v>
      </c>
      <c r="R69" s="8">
        <f t="shared" si="62"/>
        <v>0</v>
      </c>
      <c r="S69" s="8">
        <f t="shared" si="63"/>
        <v>0</v>
      </c>
      <c r="T69" s="8">
        <f t="shared" si="64"/>
        <v>4</v>
      </c>
      <c r="V69" s="8">
        <f t="shared" si="65"/>
        <v>4</v>
      </c>
      <c r="W69">
        <f t="shared" si="66"/>
        <v>1</v>
      </c>
      <c r="Y69" t="str">
        <f t="shared" si="67"/>
        <v>AMBIGUOUS</v>
      </c>
    </row>
    <row r="70" spans="2:28" x14ac:dyDescent="0.25">
      <c r="B70" s="5">
        <v>68</v>
      </c>
      <c r="C70" t="s">
        <v>5</v>
      </c>
      <c r="D70" t="s">
        <v>5</v>
      </c>
      <c r="E70" t="s">
        <v>7</v>
      </c>
      <c r="F70" t="s">
        <v>5</v>
      </c>
      <c r="G70" t="s">
        <v>6</v>
      </c>
      <c r="J70" s="15">
        <v>1</v>
      </c>
      <c r="K70" s="5">
        <v>68</v>
      </c>
      <c r="L70" s="8">
        <f t="shared" si="56"/>
        <v>0</v>
      </c>
      <c r="M70" s="8">
        <f t="shared" si="57"/>
        <v>0</v>
      </c>
      <c r="N70" s="8">
        <f t="shared" si="58"/>
        <v>1</v>
      </c>
      <c r="O70" s="8">
        <f t="shared" si="59"/>
        <v>1</v>
      </c>
      <c r="P70" s="8">
        <f t="shared" si="60"/>
        <v>3</v>
      </c>
      <c r="Q70" s="8">
        <f t="shared" si="61"/>
        <v>0</v>
      </c>
      <c r="R70" s="8">
        <f t="shared" si="62"/>
        <v>0</v>
      </c>
      <c r="S70" s="8">
        <f t="shared" si="63"/>
        <v>0</v>
      </c>
      <c r="T70" s="8">
        <f t="shared" si="64"/>
        <v>0</v>
      </c>
      <c r="V70" s="8">
        <f t="shared" si="65"/>
        <v>3</v>
      </c>
      <c r="W70">
        <f t="shared" si="66"/>
        <v>1</v>
      </c>
      <c r="Y70" t="str">
        <f t="shared" si="67"/>
        <v>sadness</v>
      </c>
      <c r="AB70" s="8">
        <f>SUM(L3,L4,L8,L14,L15,L16,L19,L20,L22,L23,L25,L27,L30,L31,L34,L35,L40,L44,L46,L47,L57,L59,L63,L65,L66,L67,L73,L77,L79,L85,L91,L94,L96,L97,L105,L110,L111,L113,L115,L117,L118,L128,L132,L138,L140,L141,L143,L145,L146,L152,L154,L160,L162,L167,L168,L170,L172,L171,L173,L181,L188,L191,L192,L197,L200,L201,L206,L213,L215,L220,L224,L236,L237,L245,L265,L268,L273,L274,L282,L284,L291,L292,L293,L296,L300,L303,L305,L306)</f>
        <v>131</v>
      </c>
    </row>
    <row r="71" spans="2:28" x14ac:dyDescent="0.25">
      <c r="B71" s="5">
        <v>69</v>
      </c>
      <c r="C71" t="s">
        <v>5</v>
      </c>
      <c r="D71" t="s">
        <v>5</v>
      </c>
      <c r="E71" t="s">
        <v>7</v>
      </c>
      <c r="F71" t="s">
        <v>5</v>
      </c>
      <c r="G71" t="s">
        <v>6</v>
      </c>
      <c r="J71" s="15">
        <v>1</v>
      </c>
      <c r="K71" s="5">
        <v>69</v>
      </c>
      <c r="L71" s="8">
        <f t="shared" si="56"/>
        <v>0</v>
      </c>
      <c r="M71" s="8">
        <f t="shared" si="57"/>
        <v>0</v>
      </c>
      <c r="N71" s="8">
        <f t="shared" si="58"/>
        <v>1</v>
      </c>
      <c r="O71" s="8">
        <f t="shared" si="59"/>
        <v>1</v>
      </c>
      <c r="P71" s="8">
        <f t="shared" si="60"/>
        <v>3</v>
      </c>
      <c r="Q71" s="8">
        <f t="shared" si="61"/>
        <v>0</v>
      </c>
      <c r="R71" s="8">
        <f t="shared" si="62"/>
        <v>0</v>
      </c>
      <c r="S71" s="8">
        <f t="shared" si="63"/>
        <v>0</v>
      </c>
      <c r="T71" s="8">
        <f t="shared" si="64"/>
        <v>0</v>
      </c>
      <c r="V71" s="8">
        <f t="shared" si="65"/>
        <v>3</v>
      </c>
      <c r="W71">
        <f t="shared" si="66"/>
        <v>1</v>
      </c>
      <c r="Y71" t="str">
        <f t="shared" si="67"/>
        <v>sadness</v>
      </c>
      <c r="AB71" s="8">
        <f>SUM(M5,M8,M11,M14,M15,M24,M40,M53,M58,M64,M65,M67,M85,M91,M103,M102,M104,M110,M115,M116,M117,M118,M121,M128,M134,M137,M138,M139,M140,M141,M143,M152,M165,M166,M167,M168,M169,M172,M177,M188,M191,M192,M194,M198,M199,M200,M211,M223,M224,M231,M230,M234,M237,M238,M241,M245,M249,M250,M265,M262,M268,M271,M271,M272,M274,M278,M279,M284,M291,M300,M301,M302,M310)</f>
        <v>114</v>
      </c>
    </row>
    <row r="72" spans="2:28" x14ac:dyDescent="0.25">
      <c r="B72" s="5">
        <v>70</v>
      </c>
      <c r="C72" t="s">
        <v>5</v>
      </c>
      <c r="D72" t="s">
        <v>3</v>
      </c>
      <c r="E72" t="s">
        <v>3</v>
      </c>
      <c r="F72" t="s">
        <v>3</v>
      </c>
      <c r="G72" t="s">
        <v>3</v>
      </c>
      <c r="J72" s="15" t="s">
        <v>654</v>
      </c>
      <c r="K72" s="5">
        <v>70</v>
      </c>
      <c r="L72" s="8">
        <f t="shared" si="56"/>
        <v>4</v>
      </c>
      <c r="M72" s="8">
        <f t="shared" si="57"/>
        <v>0</v>
      </c>
      <c r="N72" s="8">
        <f t="shared" si="58"/>
        <v>0</v>
      </c>
      <c r="O72" s="8">
        <f t="shared" si="59"/>
        <v>0</v>
      </c>
      <c r="P72" s="8">
        <f t="shared" si="60"/>
        <v>1</v>
      </c>
      <c r="Q72" s="8">
        <f t="shared" si="61"/>
        <v>0</v>
      </c>
      <c r="R72" s="8">
        <f t="shared" si="62"/>
        <v>0</v>
      </c>
      <c r="S72" s="8">
        <f t="shared" si="63"/>
        <v>0</v>
      </c>
      <c r="T72" s="8">
        <f t="shared" si="64"/>
        <v>0</v>
      </c>
      <c r="V72" s="8">
        <f t="shared" si="65"/>
        <v>4</v>
      </c>
      <c r="W72">
        <f t="shared" si="66"/>
        <v>1</v>
      </c>
      <c r="Y72" t="str">
        <f t="shared" si="67"/>
        <v>joy</v>
      </c>
    </row>
    <row r="73" spans="2:28" x14ac:dyDescent="0.25">
      <c r="B73" s="5">
        <v>71</v>
      </c>
      <c r="C73" t="s">
        <v>4</v>
      </c>
      <c r="D73" t="s">
        <v>3</v>
      </c>
      <c r="E73" t="s">
        <v>2</v>
      </c>
      <c r="F73" t="s">
        <v>3</v>
      </c>
      <c r="G73" t="s">
        <v>3</v>
      </c>
      <c r="J73" s="15">
        <v>1</v>
      </c>
      <c r="K73" s="5">
        <v>71</v>
      </c>
      <c r="L73" s="8">
        <f t="shared" si="56"/>
        <v>3</v>
      </c>
      <c r="M73" s="8">
        <f t="shared" si="57"/>
        <v>0</v>
      </c>
      <c r="N73" s="8">
        <f t="shared" si="58"/>
        <v>0</v>
      </c>
      <c r="O73" s="8">
        <f t="shared" si="59"/>
        <v>0</v>
      </c>
      <c r="P73" s="8">
        <f t="shared" si="60"/>
        <v>0</v>
      </c>
      <c r="Q73" s="8">
        <f t="shared" si="61"/>
        <v>0</v>
      </c>
      <c r="R73" s="8">
        <f t="shared" si="62"/>
        <v>1</v>
      </c>
      <c r="S73" s="8">
        <f t="shared" si="63"/>
        <v>0</v>
      </c>
      <c r="T73" s="8">
        <f t="shared" si="64"/>
        <v>1</v>
      </c>
      <c r="V73" s="8">
        <f t="shared" si="65"/>
        <v>3</v>
      </c>
      <c r="W73">
        <f t="shared" si="66"/>
        <v>1</v>
      </c>
      <c r="Y73" t="str">
        <f t="shared" si="67"/>
        <v>joy</v>
      </c>
    </row>
    <row r="74" spans="2:28" x14ac:dyDescent="0.25">
      <c r="B74" s="5">
        <v>72</v>
      </c>
      <c r="C74" t="s">
        <v>8</v>
      </c>
      <c r="D74" t="s">
        <v>3</v>
      </c>
      <c r="E74" t="s">
        <v>3</v>
      </c>
      <c r="F74" t="s">
        <v>3</v>
      </c>
      <c r="G74" t="s">
        <v>3</v>
      </c>
      <c r="J74" s="15" t="s">
        <v>654</v>
      </c>
      <c r="K74" s="5">
        <v>72</v>
      </c>
      <c r="L74" s="8">
        <f t="shared" si="56"/>
        <v>4</v>
      </c>
      <c r="M74" s="8">
        <f t="shared" si="57"/>
        <v>0</v>
      </c>
      <c r="N74" s="8">
        <f t="shared" si="58"/>
        <v>0</v>
      </c>
      <c r="O74" s="8">
        <f t="shared" si="59"/>
        <v>0</v>
      </c>
      <c r="P74" s="8">
        <f t="shared" si="60"/>
        <v>0</v>
      </c>
      <c r="Q74" s="8">
        <f t="shared" si="61"/>
        <v>0</v>
      </c>
      <c r="R74" s="8">
        <f t="shared" si="62"/>
        <v>0</v>
      </c>
      <c r="S74" s="8">
        <f t="shared" si="63"/>
        <v>1</v>
      </c>
      <c r="T74" s="8">
        <f t="shared" si="64"/>
        <v>0</v>
      </c>
      <c r="V74" s="8">
        <f t="shared" si="65"/>
        <v>4</v>
      </c>
      <c r="W74">
        <f t="shared" si="66"/>
        <v>1</v>
      </c>
      <c r="Y74" t="str">
        <f t="shared" si="67"/>
        <v>joy</v>
      </c>
    </row>
    <row r="75" spans="2:28" x14ac:dyDescent="0.25">
      <c r="B75" s="5">
        <v>73</v>
      </c>
      <c r="C75" t="s">
        <v>5</v>
      </c>
      <c r="D75" t="s">
        <v>2</v>
      </c>
      <c r="E75" t="s">
        <v>2</v>
      </c>
      <c r="F75" t="s">
        <v>2</v>
      </c>
      <c r="G75" t="s">
        <v>2</v>
      </c>
      <c r="J75" s="15" t="s">
        <v>654</v>
      </c>
      <c r="K75" s="5">
        <v>73</v>
      </c>
      <c r="L75" s="8">
        <f t="shared" si="56"/>
        <v>0</v>
      </c>
      <c r="M75" s="8">
        <f t="shared" si="57"/>
        <v>0</v>
      </c>
      <c r="N75" s="8">
        <f t="shared" si="58"/>
        <v>0</v>
      </c>
      <c r="O75" s="8">
        <f t="shared" si="59"/>
        <v>0</v>
      </c>
      <c r="P75" s="8">
        <f t="shared" si="60"/>
        <v>1</v>
      </c>
      <c r="Q75" s="8">
        <f t="shared" si="61"/>
        <v>0</v>
      </c>
      <c r="R75" s="8">
        <f t="shared" si="62"/>
        <v>0</v>
      </c>
      <c r="S75" s="8">
        <f t="shared" si="63"/>
        <v>0</v>
      </c>
      <c r="T75" s="8">
        <f t="shared" si="64"/>
        <v>4</v>
      </c>
      <c r="V75" s="8">
        <f t="shared" si="65"/>
        <v>4</v>
      </c>
      <c r="W75">
        <f t="shared" si="66"/>
        <v>1</v>
      </c>
      <c r="Y75" t="str">
        <f t="shared" si="67"/>
        <v>AMBIGUOUS</v>
      </c>
    </row>
    <row r="76" spans="2:28" x14ac:dyDescent="0.25">
      <c r="B76" s="5">
        <v>74</v>
      </c>
      <c r="C76" t="s">
        <v>3</v>
      </c>
      <c r="D76" t="s">
        <v>3</v>
      </c>
      <c r="E76" t="s">
        <v>3</v>
      </c>
      <c r="F76" t="s">
        <v>3</v>
      </c>
      <c r="G76" t="s">
        <v>1</v>
      </c>
      <c r="J76" s="15" t="s">
        <v>654</v>
      </c>
      <c r="K76" s="5">
        <v>74</v>
      </c>
      <c r="L76" s="8">
        <f t="shared" si="56"/>
        <v>4</v>
      </c>
      <c r="M76" s="8">
        <f t="shared" si="57"/>
        <v>1</v>
      </c>
      <c r="N76" s="8">
        <f t="shared" si="58"/>
        <v>0</v>
      </c>
      <c r="O76" s="8">
        <f t="shared" si="59"/>
        <v>0</v>
      </c>
      <c r="P76" s="8">
        <f t="shared" si="60"/>
        <v>0</v>
      </c>
      <c r="Q76" s="8">
        <f t="shared" si="61"/>
        <v>0</v>
      </c>
      <c r="R76" s="8">
        <f t="shared" si="62"/>
        <v>0</v>
      </c>
      <c r="S76" s="8">
        <f t="shared" si="63"/>
        <v>0</v>
      </c>
      <c r="T76" s="8">
        <f t="shared" si="64"/>
        <v>0</v>
      </c>
      <c r="V76" s="8">
        <f t="shared" si="65"/>
        <v>4</v>
      </c>
      <c r="W76">
        <f t="shared" si="66"/>
        <v>1</v>
      </c>
      <c r="Y76" t="str">
        <f t="shared" si="67"/>
        <v>joy</v>
      </c>
    </row>
    <row r="77" spans="2:28" x14ac:dyDescent="0.25">
      <c r="B77" s="5">
        <v>75</v>
      </c>
      <c r="C77" t="s">
        <v>3</v>
      </c>
      <c r="D77" t="s">
        <v>5</v>
      </c>
      <c r="E77" t="s">
        <v>2</v>
      </c>
      <c r="F77" t="s">
        <v>5</v>
      </c>
      <c r="G77" t="s">
        <v>5</v>
      </c>
      <c r="J77" s="15">
        <v>1</v>
      </c>
      <c r="K77" s="5">
        <v>75</v>
      </c>
      <c r="L77" s="8">
        <f t="shared" si="56"/>
        <v>1</v>
      </c>
      <c r="M77" s="8">
        <f t="shared" si="57"/>
        <v>0</v>
      </c>
      <c r="N77" s="8">
        <f t="shared" si="58"/>
        <v>0</v>
      </c>
      <c r="O77" s="8">
        <f t="shared" si="59"/>
        <v>0</v>
      </c>
      <c r="P77" s="8">
        <f t="shared" si="60"/>
        <v>3</v>
      </c>
      <c r="Q77" s="8">
        <f t="shared" si="61"/>
        <v>0</v>
      </c>
      <c r="R77" s="8">
        <f t="shared" si="62"/>
        <v>0</v>
      </c>
      <c r="S77" s="8">
        <f t="shared" si="63"/>
        <v>0</v>
      </c>
      <c r="T77" s="8">
        <f t="shared" si="64"/>
        <v>1</v>
      </c>
      <c r="V77" s="8">
        <f t="shared" si="65"/>
        <v>3</v>
      </c>
      <c r="W77">
        <f t="shared" si="66"/>
        <v>1</v>
      </c>
      <c r="Y77" t="str">
        <f t="shared" si="67"/>
        <v>sadness</v>
      </c>
    </row>
    <row r="78" spans="2:28" x14ac:dyDescent="0.25">
      <c r="B78" s="5">
        <v>76</v>
      </c>
      <c r="C78" t="s">
        <v>5</v>
      </c>
      <c r="D78" t="s">
        <v>5</v>
      </c>
      <c r="E78" t="s">
        <v>2</v>
      </c>
      <c r="F78" t="s">
        <v>5</v>
      </c>
      <c r="G78" t="s">
        <v>5</v>
      </c>
      <c r="J78" s="15" t="s">
        <v>654</v>
      </c>
      <c r="K78" s="5">
        <v>76</v>
      </c>
      <c r="L78" s="8">
        <f t="shared" si="56"/>
        <v>0</v>
      </c>
      <c r="M78" s="8">
        <f t="shared" si="57"/>
        <v>0</v>
      </c>
      <c r="N78" s="8">
        <f t="shared" si="58"/>
        <v>0</v>
      </c>
      <c r="O78" s="8">
        <f t="shared" si="59"/>
        <v>0</v>
      </c>
      <c r="P78" s="8">
        <f t="shared" si="60"/>
        <v>4</v>
      </c>
      <c r="Q78" s="8">
        <f t="shared" si="61"/>
        <v>0</v>
      </c>
      <c r="R78" s="8">
        <f t="shared" si="62"/>
        <v>0</v>
      </c>
      <c r="S78" s="8">
        <f t="shared" si="63"/>
        <v>0</v>
      </c>
      <c r="T78" s="8">
        <f t="shared" si="64"/>
        <v>1</v>
      </c>
      <c r="V78" s="8">
        <f t="shared" si="65"/>
        <v>4</v>
      </c>
      <c r="W78">
        <f t="shared" si="66"/>
        <v>1</v>
      </c>
      <c r="Y78" t="str">
        <f t="shared" si="67"/>
        <v>sadness</v>
      </c>
    </row>
    <row r="79" spans="2:28" x14ac:dyDescent="0.25">
      <c r="B79" s="5">
        <v>77</v>
      </c>
      <c r="C79" t="s">
        <v>8</v>
      </c>
      <c r="D79" t="s">
        <v>3</v>
      </c>
      <c r="E79" t="s">
        <v>2</v>
      </c>
      <c r="F79" t="s">
        <v>3</v>
      </c>
      <c r="G79" t="s">
        <v>3</v>
      </c>
      <c r="J79" s="15">
        <v>1</v>
      </c>
      <c r="K79" s="5">
        <v>77</v>
      </c>
      <c r="L79" s="8">
        <f t="shared" si="56"/>
        <v>3</v>
      </c>
      <c r="M79" s="8">
        <f t="shared" si="57"/>
        <v>0</v>
      </c>
      <c r="N79" s="8">
        <f t="shared" si="58"/>
        <v>0</v>
      </c>
      <c r="O79" s="8">
        <f t="shared" si="59"/>
        <v>0</v>
      </c>
      <c r="P79" s="8">
        <f t="shared" si="60"/>
        <v>0</v>
      </c>
      <c r="Q79" s="8">
        <f t="shared" si="61"/>
        <v>0</v>
      </c>
      <c r="R79" s="8">
        <f t="shared" si="62"/>
        <v>0</v>
      </c>
      <c r="S79" s="8">
        <f t="shared" si="63"/>
        <v>1</v>
      </c>
      <c r="T79" s="8">
        <f t="shared" si="64"/>
        <v>1</v>
      </c>
      <c r="V79" s="8">
        <f t="shared" si="65"/>
        <v>3</v>
      </c>
      <c r="W79">
        <f t="shared" si="66"/>
        <v>1</v>
      </c>
      <c r="Y79" t="str">
        <f t="shared" si="67"/>
        <v>joy</v>
      </c>
    </row>
    <row r="80" spans="2:28" x14ac:dyDescent="0.25">
      <c r="B80" s="5">
        <v>78</v>
      </c>
      <c r="C80" t="s">
        <v>8</v>
      </c>
      <c r="D80" t="s">
        <v>6</v>
      </c>
      <c r="E80" t="s">
        <v>2</v>
      </c>
      <c r="F80" t="s">
        <v>6</v>
      </c>
      <c r="G80" t="s">
        <v>6</v>
      </c>
      <c r="J80" s="15">
        <v>1</v>
      </c>
      <c r="K80" s="5">
        <v>78</v>
      </c>
      <c r="L80" s="8">
        <f t="shared" si="56"/>
        <v>0</v>
      </c>
      <c r="M80" s="8">
        <f t="shared" si="57"/>
        <v>0</v>
      </c>
      <c r="N80" s="8">
        <f t="shared" si="58"/>
        <v>3</v>
      </c>
      <c r="O80" s="8">
        <f t="shared" si="59"/>
        <v>0</v>
      </c>
      <c r="P80" s="8">
        <f t="shared" si="60"/>
        <v>0</v>
      </c>
      <c r="Q80" s="8">
        <f t="shared" si="61"/>
        <v>0</v>
      </c>
      <c r="R80" s="8">
        <f t="shared" si="62"/>
        <v>0</v>
      </c>
      <c r="S80" s="8">
        <f t="shared" si="63"/>
        <v>1</v>
      </c>
      <c r="T80" s="8">
        <f t="shared" si="64"/>
        <v>1</v>
      </c>
      <c r="V80" s="8">
        <f t="shared" si="65"/>
        <v>3</v>
      </c>
      <c r="W80">
        <f t="shared" si="66"/>
        <v>1</v>
      </c>
      <c r="Y80" t="str">
        <f t="shared" si="67"/>
        <v>fear</v>
      </c>
    </row>
    <row r="81" spans="2:25" x14ac:dyDescent="0.25">
      <c r="B81" s="5">
        <v>79</v>
      </c>
      <c r="C81" t="s">
        <v>1</v>
      </c>
      <c r="D81" t="s">
        <v>1</v>
      </c>
      <c r="E81" t="s">
        <v>2</v>
      </c>
      <c r="F81" t="s">
        <v>1</v>
      </c>
      <c r="G81" t="s">
        <v>1</v>
      </c>
      <c r="J81" s="15" t="s">
        <v>654</v>
      </c>
      <c r="K81" s="5">
        <v>79</v>
      </c>
      <c r="L81" s="8">
        <f t="shared" si="56"/>
        <v>0</v>
      </c>
      <c r="M81" s="8">
        <f t="shared" si="57"/>
        <v>4</v>
      </c>
      <c r="N81" s="8">
        <f t="shared" si="58"/>
        <v>0</v>
      </c>
      <c r="O81" s="8">
        <f t="shared" si="59"/>
        <v>0</v>
      </c>
      <c r="P81" s="8">
        <f t="shared" si="60"/>
        <v>0</v>
      </c>
      <c r="Q81" s="8">
        <f t="shared" si="61"/>
        <v>0</v>
      </c>
      <c r="R81" s="8">
        <f t="shared" si="62"/>
        <v>0</v>
      </c>
      <c r="S81" s="8">
        <f t="shared" si="63"/>
        <v>0</v>
      </c>
      <c r="T81" s="8">
        <f t="shared" si="64"/>
        <v>1</v>
      </c>
      <c r="V81" s="8">
        <f t="shared" si="65"/>
        <v>4</v>
      </c>
      <c r="W81">
        <f t="shared" si="66"/>
        <v>1</v>
      </c>
      <c r="Y81" t="str">
        <f t="shared" si="67"/>
        <v>trust</v>
      </c>
    </row>
    <row r="82" spans="2:25" x14ac:dyDescent="0.25">
      <c r="B82" s="5">
        <v>80</v>
      </c>
      <c r="C82" t="s">
        <v>4</v>
      </c>
      <c r="D82" t="s">
        <v>6</v>
      </c>
      <c r="E82" t="s">
        <v>2</v>
      </c>
      <c r="F82" t="s">
        <v>6</v>
      </c>
      <c r="G82" t="s">
        <v>6</v>
      </c>
      <c r="J82" s="15">
        <v>1</v>
      </c>
      <c r="K82" s="5">
        <v>80</v>
      </c>
      <c r="L82" s="8">
        <f t="shared" si="56"/>
        <v>0</v>
      </c>
      <c r="M82" s="8">
        <f t="shared" si="57"/>
        <v>0</v>
      </c>
      <c r="N82" s="8">
        <f t="shared" si="58"/>
        <v>3</v>
      </c>
      <c r="O82" s="8">
        <f t="shared" si="59"/>
        <v>0</v>
      </c>
      <c r="P82" s="8">
        <f t="shared" si="60"/>
        <v>0</v>
      </c>
      <c r="Q82" s="8">
        <f t="shared" si="61"/>
        <v>0</v>
      </c>
      <c r="R82" s="8">
        <f t="shared" si="62"/>
        <v>1</v>
      </c>
      <c r="S82" s="8">
        <f t="shared" si="63"/>
        <v>0</v>
      </c>
      <c r="T82" s="8">
        <f t="shared" si="64"/>
        <v>1</v>
      </c>
      <c r="V82" s="8">
        <f t="shared" si="65"/>
        <v>3</v>
      </c>
      <c r="W82">
        <f t="shared" si="66"/>
        <v>1</v>
      </c>
      <c r="Y82" t="str">
        <f t="shared" si="67"/>
        <v>fear</v>
      </c>
    </row>
    <row r="83" spans="2:25" x14ac:dyDescent="0.25">
      <c r="B83" s="5">
        <v>81</v>
      </c>
      <c r="C83" t="s">
        <v>3</v>
      </c>
      <c r="D83" t="s">
        <v>3</v>
      </c>
      <c r="E83" t="s">
        <v>2</v>
      </c>
      <c r="F83" t="s">
        <v>3</v>
      </c>
      <c r="G83" t="s">
        <v>3</v>
      </c>
      <c r="J83" s="15" t="s">
        <v>654</v>
      </c>
      <c r="K83" s="5">
        <v>81</v>
      </c>
      <c r="L83" s="8">
        <f t="shared" si="56"/>
        <v>4</v>
      </c>
      <c r="M83" s="8">
        <f t="shared" si="57"/>
        <v>0</v>
      </c>
      <c r="N83" s="8">
        <f t="shared" si="58"/>
        <v>0</v>
      </c>
      <c r="O83" s="8">
        <f t="shared" si="59"/>
        <v>0</v>
      </c>
      <c r="P83" s="8">
        <f t="shared" si="60"/>
        <v>0</v>
      </c>
      <c r="Q83" s="8">
        <f t="shared" si="61"/>
        <v>0</v>
      </c>
      <c r="R83" s="8">
        <f t="shared" si="62"/>
        <v>0</v>
      </c>
      <c r="S83" s="8">
        <f t="shared" si="63"/>
        <v>0</v>
      </c>
      <c r="T83" s="8">
        <f t="shared" si="64"/>
        <v>1</v>
      </c>
      <c r="V83" s="8">
        <f t="shared" si="65"/>
        <v>4</v>
      </c>
      <c r="W83">
        <f t="shared" si="66"/>
        <v>1</v>
      </c>
      <c r="Y83" t="str">
        <f t="shared" si="67"/>
        <v>joy</v>
      </c>
    </row>
    <row r="84" spans="2:25" x14ac:dyDescent="0.25">
      <c r="B84" s="5">
        <v>82</v>
      </c>
      <c r="C84" t="s">
        <v>3</v>
      </c>
      <c r="D84" t="s">
        <v>3</v>
      </c>
      <c r="E84" t="s">
        <v>3</v>
      </c>
      <c r="F84" t="s">
        <v>3</v>
      </c>
      <c r="G84" t="s">
        <v>1</v>
      </c>
      <c r="J84" s="15" t="s">
        <v>654</v>
      </c>
      <c r="K84" s="5">
        <v>82</v>
      </c>
      <c r="L84" s="8">
        <f t="shared" si="56"/>
        <v>4</v>
      </c>
      <c r="M84" s="8">
        <f t="shared" si="57"/>
        <v>1</v>
      </c>
      <c r="N84" s="8">
        <f t="shared" si="58"/>
        <v>0</v>
      </c>
      <c r="O84" s="8">
        <f t="shared" si="59"/>
        <v>0</v>
      </c>
      <c r="P84" s="8">
        <f t="shared" si="60"/>
        <v>0</v>
      </c>
      <c r="Q84" s="8">
        <f t="shared" si="61"/>
        <v>0</v>
      </c>
      <c r="R84" s="8">
        <f t="shared" si="62"/>
        <v>0</v>
      </c>
      <c r="S84" s="8">
        <f t="shared" si="63"/>
        <v>0</v>
      </c>
      <c r="T84" s="8">
        <f t="shared" si="64"/>
        <v>0</v>
      </c>
      <c r="V84" s="8">
        <f t="shared" si="65"/>
        <v>4</v>
      </c>
      <c r="W84">
        <f t="shared" si="66"/>
        <v>1</v>
      </c>
      <c r="Y84" t="str">
        <f t="shared" si="67"/>
        <v>joy</v>
      </c>
    </row>
    <row r="85" spans="2:25" x14ac:dyDescent="0.25">
      <c r="B85" s="5">
        <v>83</v>
      </c>
      <c r="C85" t="s">
        <v>3</v>
      </c>
      <c r="D85" t="s">
        <v>8</v>
      </c>
      <c r="E85" t="s">
        <v>8</v>
      </c>
      <c r="F85" t="s">
        <v>8</v>
      </c>
      <c r="G85" t="s">
        <v>1</v>
      </c>
      <c r="J85" s="15">
        <v>1</v>
      </c>
      <c r="K85" s="5">
        <v>83</v>
      </c>
      <c r="L85" s="8">
        <f t="shared" si="56"/>
        <v>1</v>
      </c>
      <c r="M85" s="8">
        <f t="shared" si="57"/>
        <v>1</v>
      </c>
      <c r="N85" s="8">
        <f t="shared" si="58"/>
        <v>0</v>
      </c>
      <c r="O85" s="8">
        <f t="shared" si="59"/>
        <v>0</v>
      </c>
      <c r="P85" s="8">
        <f t="shared" si="60"/>
        <v>0</v>
      </c>
      <c r="Q85" s="8">
        <f t="shared" si="61"/>
        <v>0</v>
      </c>
      <c r="R85" s="8">
        <f t="shared" si="62"/>
        <v>0</v>
      </c>
      <c r="S85" s="8">
        <f t="shared" si="63"/>
        <v>3</v>
      </c>
      <c r="T85" s="8">
        <f t="shared" si="64"/>
        <v>0</v>
      </c>
      <c r="V85" s="8">
        <f t="shared" si="65"/>
        <v>3</v>
      </c>
      <c r="W85">
        <f t="shared" si="66"/>
        <v>1</v>
      </c>
      <c r="Y85" t="str">
        <f t="shared" si="67"/>
        <v>anticipation</v>
      </c>
    </row>
    <row r="86" spans="2:25" x14ac:dyDescent="0.25">
      <c r="B86" s="5">
        <v>84</v>
      </c>
      <c r="C86" t="s">
        <v>3</v>
      </c>
      <c r="D86" t="s">
        <v>3</v>
      </c>
      <c r="E86" t="s">
        <v>3</v>
      </c>
      <c r="F86" t="s">
        <v>3</v>
      </c>
      <c r="G86" t="s">
        <v>1</v>
      </c>
      <c r="J86" s="15" t="s">
        <v>654</v>
      </c>
      <c r="K86" s="5">
        <v>84</v>
      </c>
      <c r="L86" s="8">
        <f t="shared" si="56"/>
        <v>4</v>
      </c>
      <c r="M86" s="8">
        <f t="shared" si="57"/>
        <v>1</v>
      </c>
      <c r="N86" s="8">
        <f t="shared" si="58"/>
        <v>0</v>
      </c>
      <c r="O86" s="8">
        <f t="shared" si="59"/>
        <v>0</v>
      </c>
      <c r="P86" s="8">
        <f t="shared" si="60"/>
        <v>0</v>
      </c>
      <c r="Q86" s="8">
        <f t="shared" si="61"/>
        <v>0</v>
      </c>
      <c r="R86" s="8">
        <f t="shared" si="62"/>
        <v>0</v>
      </c>
      <c r="S86" s="8">
        <f t="shared" si="63"/>
        <v>0</v>
      </c>
      <c r="T86" s="8">
        <f t="shared" si="64"/>
        <v>0</v>
      </c>
      <c r="V86" s="8">
        <f t="shared" si="65"/>
        <v>4</v>
      </c>
      <c r="W86">
        <f t="shared" si="66"/>
        <v>1</v>
      </c>
      <c r="Y86" t="str">
        <f t="shared" si="67"/>
        <v>joy</v>
      </c>
    </row>
    <row r="87" spans="2:25" x14ac:dyDescent="0.25">
      <c r="B87" s="5">
        <v>85</v>
      </c>
      <c r="C87" t="s">
        <v>3</v>
      </c>
      <c r="D87" t="s">
        <v>3</v>
      </c>
      <c r="E87" t="s">
        <v>3</v>
      </c>
      <c r="F87" t="s">
        <v>3</v>
      </c>
      <c r="G87" t="s">
        <v>7</v>
      </c>
      <c r="J87" s="15" t="s">
        <v>654</v>
      </c>
      <c r="K87" s="5">
        <v>85</v>
      </c>
      <c r="L87" s="8">
        <f t="shared" si="56"/>
        <v>4</v>
      </c>
      <c r="M87" s="8">
        <f t="shared" si="57"/>
        <v>0</v>
      </c>
      <c r="N87" s="8">
        <f t="shared" si="58"/>
        <v>0</v>
      </c>
      <c r="O87" s="8">
        <f t="shared" si="59"/>
        <v>1</v>
      </c>
      <c r="P87" s="8">
        <f t="shared" si="60"/>
        <v>0</v>
      </c>
      <c r="Q87" s="8">
        <f t="shared" si="61"/>
        <v>0</v>
      </c>
      <c r="R87" s="8">
        <f t="shared" si="62"/>
        <v>0</v>
      </c>
      <c r="S87" s="8">
        <f t="shared" si="63"/>
        <v>0</v>
      </c>
      <c r="T87" s="8">
        <f t="shared" si="64"/>
        <v>0</v>
      </c>
      <c r="V87" s="8">
        <f t="shared" si="65"/>
        <v>4</v>
      </c>
      <c r="W87">
        <f t="shared" si="66"/>
        <v>1</v>
      </c>
      <c r="Y87" t="str">
        <f t="shared" si="67"/>
        <v>joy</v>
      </c>
    </row>
    <row r="88" spans="2:25" x14ac:dyDescent="0.25">
      <c r="B88" s="5">
        <v>86</v>
      </c>
      <c r="C88" t="s">
        <v>1</v>
      </c>
      <c r="D88" t="s">
        <v>1</v>
      </c>
      <c r="E88" t="s">
        <v>2</v>
      </c>
      <c r="F88" t="s">
        <v>1</v>
      </c>
      <c r="G88" t="s">
        <v>1</v>
      </c>
      <c r="J88" s="15" t="s">
        <v>654</v>
      </c>
      <c r="K88" s="5">
        <v>86</v>
      </c>
      <c r="L88" s="8">
        <f t="shared" si="56"/>
        <v>0</v>
      </c>
      <c r="M88" s="8">
        <f t="shared" si="57"/>
        <v>4</v>
      </c>
      <c r="N88" s="8">
        <f t="shared" si="58"/>
        <v>0</v>
      </c>
      <c r="O88" s="8">
        <f t="shared" si="59"/>
        <v>0</v>
      </c>
      <c r="P88" s="8">
        <f t="shared" si="60"/>
        <v>0</v>
      </c>
      <c r="Q88" s="8">
        <f t="shared" si="61"/>
        <v>0</v>
      </c>
      <c r="R88" s="8">
        <f t="shared" si="62"/>
        <v>0</v>
      </c>
      <c r="S88" s="8">
        <f t="shared" si="63"/>
        <v>0</v>
      </c>
      <c r="T88" s="8">
        <f t="shared" si="64"/>
        <v>1</v>
      </c>
      <c r="V88" s="8">
        <f t="shared" si="65"/>
        <v>4</v>
      </c>
      <c r="W88">
        <f t="shared" si="66"/>
        <v>1</v>
      </c>
      <c r="Y88" t="str">
        <f t="shared" si="67"/>
        <v>trust</v>
      </c>
    </row>
    <row r="89" spans="2:25" x14ac:dyDescent="0.25">
      <c r="B89" s="5">
        <v>87</v>
      </c>
      <c r="C89" t="s">
        <v>3</v>
      </c>
      <c r="D89" t="s">
        <v>3</v>
      </c>
      <c r="E89" t="s">
        <v>3</v>
      </c>
      <c r="F89" t="s">
        <v>3</v>
      </c>
      <c r="G89" t="s">
        <v>1</v>
      </c>
      <c r="J89" s="15" t="s">
        <v>654</v>
      </c>
      <c r="K89" s="5">
        <v>87</v>
      </c>
      <c r="L89" s="8">
        <f t="shared" si="56"/>
        <v>4</v>
      </c>
      <c r="M89" s="8">
        <f t="shared" si="57"/>
        <v>1</v>
      </c>
      <c r="N89" s="8">
        <f t="shared" si="58"/>
        <v>0</v>
      </c>
      <c r="O89" s="8">
        <f t="shared" si="59"/>
        <v>0</v>
      </c>
      <c r="P89" s="8">
        <f t="shared" si="60"/>
        <v>0</v>
      </c>
      <c r="Q89" s="8">
        <f t="shared" si="61"/>
        <v>0</v>
      </c>
      <c r="R89" s="8">
        <f t="shared" si="62"/>
        <v>0</v>
      </c>
      <c r="S89" s="8">
        <f t="shared" si="63"/>
        <v>0</v>
      </c>
      <c r="T89" s="8">
        <f t="shared" si="64"/>
        <v>0</v>
      </c>
      <c r="V89" s="8">
        <f t="shared" si="65"/>
        <v>4</v>
      </c>
      <c r="W89">
        <f t="shared" si="66"/>
        <v>1</v>
      </c>
      <c r="Y89" t="str">
        <f>INDEX($L$2:$T$2,MATCH(MAX(L89:T89),L89:T89,0))</f>
        <v>joy</v>
      </c>
    </row>
    <row r="90" spans="2:25" x14ac:dyDescent="0.25">
      <c r="B90" s="5">
        <v>88</v>
      </c>
      <c r="C90" t="s">
        <v>5</v>
      </c>
      <c r="D90" t="s">
        <v>6</v>
      </c>
      <c r="E90" t="s">
        <v>7</v>
      </c>
      <c r="F90" t="s">
        <v>6</v>
      </c>
      <c r="G90" t="s">
        <v>6</v>
      </c>
      <c r="J90" s="15">
        <v>1</v>
      </c>
      <c r="K90" s="5">
        <v>88</v>
      </c>
      <c r="L90" s="8">
        <f t="shared" si="56"/>
        <v>0</v>
      </c>
      <c r="M90" s="8">
        <f t="shared" si="57"/>
        <v>0</v>
      </c>
      <c r="N90" s="8">
        <f t="shared" si="58"/>
        <v>3</v>
      </c>
      <c r="O90" s="8">
        <f t="shared" si="59"/>
        <v>1</v>
      </c>
      <c r="P90" s="8">
        <f t="shared" si="60"/>
        <v>1</v>
      </c>
      <c r="Q90" s="8">
        <f t="shared" si="61"/>
        <v>0</v>
      </c>
      <c r="R90" s="8">
        <f t="shared" si="62"/>
        <v>0</v>
      </c>
      <c r="S90" s="8">
        <f t="shared" si="63"/>
        <v>0</v>
      </c>
      <c r="T90" s="8">
        <f t="shared" si="64"/>
        <v>0</v>
      </c>
      <c r="V90" s="8">
        <f t="shared" si="65"/>
        <v>3</v>
      </c>
      <c r="W90">
        <f t="shared" si="66"/>
        <v>1</v>
      </c>
      <c r="Y90" t="str">
        <f t="shared" ref="Y90:Y113" si="68">INDEX($L$2:$T$2,MATCH(MAX(L90:T90),L90:T90,0))</f>
        <v>fear</v>
      </c>
    </row>
    <row r="91" spans="2:25" x14ac:dyDescent="0.25">
      <c r="B91" s="5">
        <v>89</v>
      </c>
      <c r="C91" t="s">
        <v>8</v>
      </c>
      <c r="D91" t="s">
        <v>8</v>
      </c>
      <c r="E91" t="s">
        <v>3</v>
      </c>
      <c r="F91" t="s">
        <v>8</v>
      </c>
      <c r="G91" t="s">
        <v>1</v>
      </c>
      <c r="J91" s="15">
        <v>1</v>
      </c>
      <c r="K91" s="5">
        <v>89</v>
      </c>
      <c r="L91" s="8">
        <f t="shared" si="56"/>
        <v>1</v>
      </c>
      <c r="M91" s="8">
        <f t="shared" si="57"/>
        <v>1</v>
      </c>
      <c r="N91" s="8">
        <f t="shared" si="58"/>
        <v>0</v>
      </c>
      <c r="O91" s="8">
        <f t="shared" si="59"/>
        <v>0</v>
      </c>
      <c r="P91" s="8">
        <f t="shared" si="60"/>
        <v>0</v>
      </c>
      <c r="Q91" s="8">
        <f t="shared" si="61"/>
        <v>0</v>
      </c>
      <c r="R91" s="8">
        <f t="shared" si="62"/>
        <v>0</v>
      </c>
      <c r="S91" s="8">
        <f t="shared" si="63"/>
        <v>3</v>
      </c>
      <c r="T91" s="8">
        <f t="shared" si="64"/>
        <v>0</v>
      </c>
      <c r="V91" s="8">
        <f t="shared" si="65"/>
        <v>3</v>
      </c>
      <c r="W91">
        <f t="shared" si="66"/>
        <v>1</v>
      </c>
      <c r="Y91" t="str">
        <f t="shared" si="68"/>
        <v>anticipation</v>
      </c>
    </row>
    <row r="92" spans="2:25" x14ac:dyDescent="0.25">
      <c r="B92" s="5">
        <v>90</v>
      </c>
      <c r="C92" t="s">
        <v>1</v>
      </c>
      <c r="D92" t="s">
        <v>1</v>
      </c>
      <c r="E92" t="s">
        <v>6</v>
      </c>
      <c r="F92" t="s">
        <v>1</v>
      </c>
      <c r="G92" t="s">
        <v>1</v>
      </c>
      <c r="J92" s="15" t="s">
        <v>654</v>
      </c>
      <c r="K92" s="5">
        <v>90</v>
      </c>
      <c r="L92" s="8">
        <f t="shared" si="56"/>
        <v>0</v>
      </c>
      <c r="M92" s="8">
        <f t="shared" si="57"/>
        <v>4</v>
      </c>
      <c r="N92" s="8">
        <f t="shared" si="58"/>
        <v>1</v>
      </c>
      <c r="O92" s="8">
        <f t="shared" si="59"/>
        <v>0</v>
      </c>
      <c r="P92" s="8">
        <f t="shared" si="60"/>
        <v>0</v>
      </c>
      <c r="Q92" s="8">
        <f t="shared" si="61"/>
        <v>0</v>
      </c>
      <c r="R92" s="8">
        <f t="shared" si="62"/>
        <v>0</v>
      </c>
      <c r="S92" s="8">
        <f t="shared" si="63"/>
        <v>0</v>
      </c>
      <c r="T92" s="8">
        <f t="shared" si="64"/>
        <v>0</v>
      </c>
      <c r="V92" s="8">
        <f t="shared" si="65"/>
        <v>4</v>
      </c>
      <c r="W92">
        <f t="shared" si="66"/>
        <v>1</v>
      </c>
      <c r="Y92" t="str">
        <f t="shared" si="68"/>
        <v>trust</v>
      </c>
    </row>
    <row r="93" spans="2:25" x14ac:dyDescent="0.25">
      <c r="B93" s="5">
        <v>91</v>
      </c>
      <c r="C93" t="s">
        <v>5</v>
      </c>
      <c r="D93" t="s">
        <v>3</v>
      </c>
      <c r="E93" t="s">
        <v>3</v>
      </c>
      <c r="F93" t="s">
        <v>3</v>
      </c>
      <c r="G93" t="s">
        <v>3</v>
      </c>
      <c r="J93" s="15" t="s">
        <v>654</v>
      </c>
      <c r="K93" s="5">
        <v>91</v>
      </c>
      <c r="L93" s="8">
        <f t="shared" si="56"/>
        <v>4</v>
      </c>
      <c r="M93" s="8">
        <f t="shared" si="57"/>
        <v>0</v>
      </c>
      <c r="N93" s="8">
        <f t="shared" si="58"/>
        <v>0</v>
      </c>
      <c r="O93" s="8">
        <f t="shared" si="59"/>
        <v>0</v>
      </c>
      <c r="P93" s="8">
        <f t="shared" si="60"/>
        <v>1</v>
      </c>
      <c r="Q93" s="8">
        <f t="shared" si="61"/>
        <v>0</v>
      </c>
      <c r="R93" s="8">
        <f t="shared" si="62"/>
        <v>0</v>
      </c>
      <c r="S93" s="8">
        <f t="shared" si="63"/>
        <v>0</v>
      </c>
      <c r="T93" s="8">
        <f t="shared" si="64"/>
        <v>0</v>
      </c>
      <c r="V93" s="8">
        <f t="shared" si="65"/>
        <v>4</v>
      </c>
      <c r="W93">
        <f t="shared" si="66"/>
        <v>1</v>
      </c>
      <c r="Y93" t="str">
        <f t="shared" si="68"/>
        <v>joy</v>
      </c>
    </row>
    <row r="94" spans="2:25" x14ac:dyDescent="0.25">
      <c r="B94" s="5">
        <v>92</v>
      </c>
      <c r="C94" t="s">
        <v>5</v>
      </c>
      <c r="D94" t="s">
        <v>5</v>
      </c>
      <c r="E94" t="s">
        <v>6</v>
      </c>
      <c r="F94" t="s">
        <v>5</v>
      </c>
      <c r="G94" t="s">
        <v>3</v>
      </c>
      <c r="J94" s="15">
        <v>1</v>
      </c>
      <c r="K94" s="5">
        <v>92</v>
      </c>
      <c r="L94" s="8">
        <f t="shared" si="56"/>
        <v>1</v>
      </c>
      <c r="M94" s="8">
        <f t="shared" si="57"/>
        <v>0</v>
      </c>
      <c r="N94" s="8">
        <f t="shared" si="58"/>
        <v>1</v>
      </c>
      <c r="O94" s="8">
        <f t="shared" si="59"/>
        <v>0</v>
      </c>
      <c r="P94" s="8">
        <f t="shared" si="60"/>
        <v>3</v>
      </c>
      <c r="Q94" s="8">
        <f t="shared" si="61"/>
        <v>0</v>
      </c>
      <c r="R94" s="8">
        <f t="shared" si="62"/>
        <v>0</v>
      </c>
      <c r="S94" s="8">
        <f t="shared" si="63"/>
        <v>0</v>
      </c>
      <c r="T94" s="8">
        <f t="shared" si="64"/>
        <v>0</v>
      </c>
      <c r="V94" s="8">
        <f t="shared" si="65"/>
        <v>3</v>
      </c>
      <c r="W94">
        <f t="shared" si="66"/>
        <v>1</v>
      </c>
      <c r="Y94" t="str">
        <f t="shared" si="68"/>
        <v>sadness</v>
      </c>
    </row>
    <row r="95" spans="2:25" x14ac:dyDescent="0.25">
      <c r="B95" s="5">
        <v>93</v>
      </c>
      <c r="C95" t="s">
        <v>1</v>
      </c>
      <c r="D95" t="s">
        <v>1</v>
      </c>
      <c r="E95" t="s">
        <v>3</v>
      </c>
      <c r="F95" t="s">
        <v>1</v>
      </c>
      <c r="G95" t="s">
        <v>1</v>
      </c>
      <c r="J95" s="15" t="s">
        <v>654</v>
      </c>
      <c r="K95" s="5">
        <v>93</v>
      </c>
      <c r="L95" s="8">
        <f t="shared" si="56"/>
        <v>1</v>
      </c>
      <c r="M95" s="8">
        <f t="shared" si="57"/>
        <v>4</v>
      </c>
      <c r="N95" s="8">
        <f t="shared" si="58"/>
        <v>0</v>
      </c>
      <c r="O95" s="8">
        <f t="shared" si="59"/>
        <v>0</v>
      </c>
      <c r="P95" s="8">
        <f t="shared" si="60"/>
        <v>0</v>
      </c>
      <c r="Q95" s="8">
        <f t="shared" si="61"/>
        <v>0</v>
      </c>
      <c r="R95" s="8">
        <f t="shared" si="62"/>
        <v>0</v>
      </c>
      <c r="S95" s="8">
        <f t="shared" si="63"/>
        <v>0</v>
      </c>
      <c r="T95" s="8">
        <f t="shared" si="64"/>
        <v>0</v>
      </c>
      <c r="V95" s="8">
        <f t="shared" si="65"/>
        <v>4</v>
      </c>
      <c r="W95">
        <f t="shared" si="66"/>
        <v>1</v>
      </c>
      <c r="Y95" t="str">
        <f t="shared" si="68"/>
        <v>trust</v>
      </c>
    </row>
    <row r="96" spans="2:25" x14ac:dyDescent="0.25">
      <c r="B96" s="5">
        <v>94</v>
      </c>
      <c r="C96" t="s">
        <v>8</v>
      </c>
      <c r="D96" t="s">
        <v>5</v>
      </c>
      <c r="E96" t="s">
        <v>3</v>
      </c>
      <c r="F96" t="s">
        <v>5</v>
      </c>
      <c r="G96" t="s">
        <v>5</v>
      </c>
      <c r="J96" s="15">
        <v>1</v>
      </c>
      <c r="K96" s="5">
        <v>94</v>
      </c>
      <c r="L96" s="8">
        <f t="shared" si="56"/>
        <v>1</v>
      </c>
      <c r="M96" s="8">
        <f t="shared" si="57"/>
        <v>0</v>
      </c>
      <c r="N96" s="8">
        <f t="shared" si="58"/>
        <v>0</v>
      </c>
      <c r="O96" s="8">
        <f t="shared" si="59"/>
        <v>0</v>
      </c>
      <c r="P96" s="8">
        <f t="shared" si="60"/>
        <v>3</v>
      </c>
      <c r="Q96" s="8">
        <f t="shared" si="61"/>
        <v>0</v>
      </c>
      <c r="R96" s="8">
        <f t="shared" si="62"/>
        <v>0</v>
      </c>
      <c r="S96" s="8">
        <f t="shared" si="63"/>
        <v>1</v>
      </c>
      <c r="T96" s="8">
        <f t="shared" si="64"/>
        <v>0</v>
      </c>
      <c r="V96" s="8">
        <f t="shared" si="65"/>
        <v>3</v>
      </c>
      <c r="W96">
        <f t="shared" si="66"/>
        <v>1</v>
      </c>
      <c r="Y96" t="str">
        <f t="shared" si="68"/>
        <v>sadness</v>
      </c>
    </row>
    <row r="97" spans="2:25" x14ac:dyDescent="0.25">
      <c r="B97" s="5">
        <v>95</v>
      </c>
      <c r="C97" t="s">
        <v>3</v>
      </c>
      <c r="D97" t="s">
        <v>0</v>
      </c>
      <c r="E97" t="s">
        <v>2</v>
      </c>
      <c r="F97" t="s">
        <v>0</v>
      </c>
      <c r="G97" t="s">
        <v>0</v>
      </c>
      <c r="J97" s="15">
        <v>1</v>
      </c>
      <c r="K97" s="5">
        <v>95</v>
      </c>
      <c r="L97" s="8">
        <f t="shared" si="56"/>
        <v>1</v>
      </c>
      <c r="M97" s="8">
        <f t="shared" si="57"/>
        <v>0</v>
      </c>
      <c r="N97" s="8">
        <f t="shared" si="58"/>
        <v>0</v>
      </c>
      <c r="O97" s="8">
        <f t="shared" si="59"/>
        <v>0</v>
      </c>
      <c r="P97" s="8">
        <f t="shared" si="60"/>
        <v>0</v>
      </c>
      <c r="Q97" s="8">
        <f t="shared" si="61"/>
        <v>3</v>
      </c>
      <c r="R97" s="8">
        <f t="shared" si="62"/>
        <v>0</v>
      </c>
      <c r="S97" s="8">
        <f t="shared" si="63"/>
        <v>0</v>
      </c>
      <c r="T97" s="8">
        <f t="shared" si="64"/>
        <v>1</v>
      </c>
      <c r="V97" s="8">
        <f t="shared" si="65"/>
        <v>3</v>
      </c>
      <c r="W97">
        <f t="shared" si="66"/>
        <v>1</v>
      </c>
      <c r="Y97" t="str">
        <f t="shared" si="68"/>
        <v>disgust</v>
      </c>
    </row>
    <row r="98" spans="2:25" x14ac:dyDescent="0.25">
      <c r="B98" s="5">
        <v>96</v>
      </c>
      <c r="C98" t="s">
        <v>4</v>
      </c>
      <c r="D98" t="s">
        <v>4</v>
      </c>
      <c r="E98" t="s">
        <v>2</v>
      </c>
      <c r="F98" t="s">
        <v>4</v>
      </c>
      <c r="G98" t="s">
        <v>4</v>
      </c>
      <c r="J98" s="15" t="s">
        <v>654</v>
      </c>
      <c r="K98" s="5">
        <v>96</v>
      </c>
      <c r="L98" s="8">
        <f t="shared" si="56"/>
        <v>0</v>
      </c>
      <c r="M98" s="8">
        <f t="shared" si="57"/>
        <v>0</v>
      </c>
      <c r="N98" s="8">
        <f t="shared" si="58"/>
        <v>0</v>
      </c>
      <c r="O98" s="8">
        <f t="shared" si="59"/>
        <v>0</v>
      </c>
      <c r="P98" s="8">
        <f t="shared" si="60"/>
        <v>0</v>
      </c>
      <c r="Q98" s="8">
        <f t="shared" si="61"/>
        <v>0</v>
      </c>
      <c r="R98" s="8">
        <f t="shared" si="62"/>
        <v>4</v>
      </c>
      <c r="S98" s="8">
        <f t="shared" si="63"/>
        <v>0</v>
      </c>
      <c r="T98" s="8">
        <f t="shared" si="64"/>
        <v>1</v>
      </c>
      <c r="V98" s="8">
        <f t="shared" si="65"/>
        <v>4</v>
      </c>
      <c r="W98">
        <f t="shared" si="66"/>
        <v>1</v>
      </c>
      <c r="Y98" t="str">
        <f t="shared" si="68"/>
        <v>anger</v>
      </c>
    </row>
    <row r="99" spans="2:25" x14ac:dyDescent="0.25">
      <c r="B99" s="5">
        <v>97</v>
      </c>
      <c r="C99" t="s">
        <v>8</v>
      </c>
      <c r="D99" t="s">
        <v>8</v>
      </c>
      <c r="E99" t="s">
        <v>6</v>
      </c>
      <c r="F99" t="s">
        <v>8</v>
      </c>
      <c r="G99" t="s">
        <v>8</v>
      </c>
      <c r="J99" s="15" t="s">
        <v>654</v>
      </c>
      <c r="K99" s="5">
        <v>97</v>
      </c>
      <c r="L99" s="8">
        <f t="shared" si="56"/>
        <v>0</v>
      </c>
      <c r="M99" s="8">
        <f t="shared" si="57"/>
        <v>0</v>
      </c>
      <c r="N99" s="8">
        <f t="shared" si="58"/>
        <v>1</v>
      </c>
      <c r="O99" s="8">
        <f t="shared" si="59"/>
        <v>0</v>
      </c>
      <c r="P99" s="8">
        <f t="shared" si="60"/>
        <v>0</v>
      </c>
      <c r="Q99" s="8">
        <f t="shared" si="61"/>
        <v>0</v>
      </c>
      <c r="R99" s="8">
        <f t="shared" si="62"/>
        <v>0</v>
      </c>
      <c r="S99" s="8">
        <f t="shared" si="63"/>
        <v>4</v>
      </c>
      <c r="T99" s="8">
        <f t="shared" si="64"/>
        <v>0</v>
      </c>
      <c r="V99" s="8">
        <f t="shared" si="65"/>
        <v>4</v>
      </c>
      <c r="W99">
        <f t="shared" si="66"/>
        <v>1</v>
      </c>
      <c r="Y99" t="str">
        <f t="shared" si="68"/>
        <v>anticipation</v>
      </c>
    </row>
    <row r="100" spans="2:25" x14ac:dyDescent="0.25">
      <c r="B100" s="5">
        <v>98</v>
      </c>
      <c r="C100" t="s">
        <v>4</v>
      </c>
      <c r="D100" t="s">
        <v>8</v>
      </c>
      <c r="E100" t="s">
        <v>2</v>
      </c>
      <c r="F100" t="s">
        <v>8</v>
      </c>
      <c r="G100" t="s">
        <v>8</v>
      </c>
      <c r="J100" s="15">
        <v>1</v>
      </c>
      <c r="K100" s="5">
        <v>98</v>
      </c>
      <c r="L100" s="8">
        <f t="shared" si="56"/>
        <v>0</v>
      </c>
      <c r="M100" s="8">
        <f t="shared" si="57"/>
        <v>0</v>
      </c>
      <c r="N100" s="8">
        <f t="shared" si="58"/>
        <v>0</v>
      </c>
      <c r="O100" s="8">
        <f t="shared" si="59"/>
        <v>0</v>
      </c>
      <c r="P100" s="8">
        <f t="shared" si="60"/>
        <v>0</v>
      </c>
      <c r="Q100" s="8">
        <f t="shared" si="61"/>
        <v>0</v>
      </c>
      <c r="R100" s="8">
        <f t="shared" si="62"/>
        <v>1</v>
      </c>
      <c r="S100" s="8">
        <f t="shared" si="63"/>
        <v>3</v>
      </c>
      <c r="T100" s="8">
        <f t="shared" si="64"/>
        <v>1</v>
      </c>
      <c r="V100" s="8">
        <f t="shared" si="65"/>
        <v>3</v>
      </c>
      <c r="W100">
        <f t="shared" si="66"/>
        <v>1</v>
      </c>
      <c r="Y100" t="str">
        <f t="shared" si="68"/>
        <v>anticipation</v>
      </c>
    </row>
    <row r="101" spans="2:25" x14ac:dyDescent="0.25">
      <c r="B101" s="5">
        <v>99</v>
      </c>
      <c r="C101" t="s">
        <v>3</v>
      </c>
      <c r="D101" t="s">
        <v>3</v>
      </c>
      <c r="E101" t="s">
        <v>2</v>
      </c>
      <c r="F101" t="s">
        <v>3</v>
      </c>
      <c r="G101" t="s">
        <v>3</v>
      </c>
      <c r="J101" s="15" t="s">
        <v>654</v>
      </c>
      <c r="K101" s="5">
        <v>99</v>
      </c>
      <c r="L101" s="8">
        <f t="shared" si="56"/>
        <v>4</v>
      </c>
      <c r="M101" s="8">
        <f t="shared" si="57"/>
        <v>0</v>
      </c>
      <c r="N101" s="8">
        <f t="shared" si="58"/>
        <v>0</v>
      </c>
      <c r="O101" s="8">
        <f t="shared" si="59"/>
        <v>0</v>
      </c>
      <c r="P101" s="8">
        <f t="shared" si="60"/>
        <v>0</v>
      </c>
      <c r="Q101" s="8">
        <f t="shared" si="61"/>
        <v>0</v>
      </c>
      <c r="R101" s="8">
        <f t="shared" si="62"/>
        <v>0</v>
      </c>
      <c r="S101" s="8">
        <f t="shared" si="63"/>
        <v>0</v>
      </c>
      <c r="T101" s="8">
        <f t="shared" si="64"/>
        <v>1</v>
      </c>
      <c r="V101" s="8">
        <f t="shared" si="65"/>
        <v>4</v>
      </c>
      <c r="W101">
        <f t="shared" si="66"/>
        <v>1</v>
      </c>
      <c r="Y101" t="str">
        <f t="shared" si="68"/>
        <v>joy</v>
      </c>
    </row>
    <row r="102" spans="2:25" x14ac:dyDescent="0.25">
      <c r="B102" s="5">
        <v>100</v>
      </c>
      <c r="C102" t="s">
        <v>8</v>
      </c>
      <c r="D102" t="s">
        <v>8</v>
      </c>
      <c r="E102" t="s">
        <v>2</v>
      </c>
      <c r="F102" t="s">
        <v>8</v>
      </c>
      <c r="G102" t="s">
        <v>1</v>
      </c>
      <c r="J102" s="15">
        <v>1</v>
      </c>
      <c r="K102" s="5">
        <v>100</v>
      </c>
      <c r="L102" s="8">
        <f t="shared" si="56"/>
        <v>0</v>
      </c>
      <c r="M102" s="8">
        <f t="shared" si="57"/>
        <v>1</v>
      </c>
      <c r="N102" s="8">
        <f t="shared" si="58"/>
        <v>0</v>
      </c>
      <c r="O102" s="8">
        <f t="shared" si="59"/>
        <v>0</v>
      </c>
      <c r="P102" s="8">
        <f t="shared" si="60"/>
        <v>0</v>
      </c>
      <c r="Q102" s="8">
        <f t="shared" si="61"/>
        <v>0</v>
      </c>
      <c r="R102" s="8">
        <f t="shared" si="62"/>
        <v>0</v>
      </c>
      <c r="S102" s="8">
        <f t="shared" si="63"/>
        <v>3</v>
      </c>
      <c r="T102" s="8">
        <f t="shared" si="64"/>
        <v>1</v>
      </c>
      <c r="V102" s="8">
        <f t="shared" si="65"/>
        <v>3</v>
      </c>
      <c r="W102">
        <f t="shared" si="66"/>
        <v>1</v>
      </c>
      <c r="Y102" t="str">
        <f t="shared" si="68"/>
        <v>anticipation</v>
      </c>
    </row>
    <row r="103" spans="2:25" x14ac:dyDescent="0.25">
      <c r="B103" s="5">
        <v>101</v>
      </c>
      <c r="C103" t="s">
        <v>4</v>
      </c>
      <c r="D103" t="s">
        <v>4</v>
      </c>
      <c r="E103" t="s">
        <v>2</v>
      </c>
      <c r="F103" t="s">
        <v>4</v>
      </c>
      <c r="G103" t="s">
        <v>1</v>
      </c>
      <c r="J103" s="15">
        <v>1</v>
      </c>
      <c r="K103" s="5">
        <v>101</v>
      </c>
      <c r="L103" s="8">
        <f t="shared" si="56"/>
        <v>0</v>
      </c>
      <c r="M103" s="8">
        <f t="shared" si="57"/>
        <v>1</v>
      </c>
      <c r="N103" s="8">
        <f t="shared" si="58"/>
        <v>0</v>
      </c>
      <c r="O103" s="8">
        <f t="shared" si="59"/>
        <v>0</v>
      </c>
      <c r="P103" s="8">
        <f t="shared" si="60"/>
        <v>0</v>
      </c>
      <c r="Q103" s="8">
        <f t="shared" si="61"/>
        <v>0</v>
      </c>
      <c r="R103" s="8">
        <f t="shared" si="62"/>
        <v>3</v>
      </c>
      <c r="S103" s="8">
        <f t="shared" si="63"/>
        <v>0</v>
      </c>
      <c r="T103" s="8">
        <f t="shared" si="64"/>
        <v>1</v>
      </c>
      <c r="V103" s="8">
        <f t="shared" si="65"/>
        <v>3</v>
      </c>
      <c r="W103">
        <f t="shared" si="66"/>
        <v>1</v>
      </c>
      <c r="Y103" t="str">
        <f t="shared" si="68"/>
        <v>anger</v>
      </c>
    </row>
    <row r="104" spans="2:25" x14ac:dyDescent="0.25">
      <c r="B104" s="5">
        <v>102</v>
      </c>
      <c r="C104" t="s">
        <v>5</v>
      </c>
      <c r="D104" t="s">
        <v>1</v>
      </c>
      <c r="E104" t="s">
        <v>2</v>
      </c>
      <c r="F104" t="s">
        <v>1</v>
      </c>
      <c r="G104" t="s">
        <v>1</v>
      </c>
      <c r="J104" s="15">
        <v>1</v>
      </c>
      <c r="K104" s="5">
        <v>102</v>
      </c>
      <c r="L104" s="8">
        <f t="shared" si="56"/>
        <v>0</v>
      </c>
      <c r="M104" s="8">
        <f t="shared" si="57"/>
        <v>3</v>
      </c>
      <c r="N104" s="8">
        <f t="shared" si="58"/>
        <v>0</v>
      </c>
      <c r="O104" s="8">
        <f t="shared" si="59"/>
        <v>0</v>
      </c>
      <c r="P104" s="8">
        <f t="shared" si="60"/>
        <v>1</v>
      </c>
      <c r="Q104" s="8">
        <f t="shared" si="61"/>
        <v>0</v>
      </c>
      <c r="R104" s="8">
        <f t="shared" si="62"/>
        <v>0</v>
      </c>
      <c r="S104" s="8">
        <f t="shared" si="63"/>
        <v>0</v>
      </c>
      <c r="T104" s="8">
        <f t="shared" si="64"/>
        <v>1</v>
      </c>
      <c r="V104" s="8">
        <f t="shared" si="65"/>
        <v>3</v>
      </c>
      <c r="W104">
        <f t="shared" si="66"/>
        <v>1</v>
      </c>
      <c r="Y104" t="str">
        <f t="shared" si="68"/>
        <v>trust</v>
      </c>
    </row>
    <row r="105" spans="2:25" x14ac:dyDescent="0.25">
      <c r="B105" s="5">
        <v>103</v>
      </c>
      <c r="C105" t="s">
        <v>3</v>
      </c>
      <c r="D105" t="s">
        <v>7</v>
      </c>
      <c r="E105" t="s">
        <v>2</v>
      </c>
      <c r="F105" t="s">
        <v>7</v>
      </c>
      <c r="G105" t="s">
        <v>7</v>
      </c>
      <c r="J105" s="15">
        <v>1</v>
      </c>
      <c r="K105" s="5">
        <v>103</v>
      </c>
      <c r="L105" s="8">
        <f t="shared" si="56"/>
        <v>1</v>
      </c>
      <c r="M105" s="8">
        <f t="shared" si="57"/>
        <v>0</v>
      </c>
      <c r="N105" s="8">
        <f t="shared" si="58"/>
        <v>0</v>
      </c>
      <c r="O105" s="8">
        <f t="shared" si="59"/>
        <v>3</v>
      </c>
      <c r="P105" s="8">
        <f t="shared" si="60"/>
        <v>0</v>
      </c>
      <c r="Q105" s="8">
        <f t="shared" si="61"/>
        <v>0</v>
      </c>
      <c r="R105" s="8">
        <f t="shared" si="62"/>
        <v>0</v>
      </c>
      <c r="S105" s="8">
        <f t="shared" si="63"/>
        <v>0</v>
      </c>
      <c r="T105" s="8">
        <f t="shared" si="64"/>
        <v>1</v>
      </c>
      <c r="V105" s="8">
        <f t="shared" si="65"/>
        <v>3</v>
      </c>
      <c r="W105">
        <f t="shared" si="66"/>
        <v>1</v>
      </c>
      <c r="Y105" t="str">
        <f t="shared" si="68"/>
        <v>surprise</v>
      </c>
    </row>
    <row r="106" spans="2:25" x14ac:dyDescent="0.25">
      <c r="B106" s="5">
        <v>104</v>
      </c>
      <c r="C106" t="s">
        <v>1</v>
      </c>
      <c r="D106" t="s">
        <v>5</v>
      </c>
      <c r="E106" t="s">
        <v>5</v>
      </c>
      <c r="F106" t="s">
        <v>5</v>
      </c>
      <c r="G106" t="s">
        <v>5</v>
      </c>
      <c r="J106" s="15" t="s">
        <v>654</v>
      </c>
      <c r="K106" s="5">
        <v>104</v>
      </c>
      <c r="L106" s="8">
        <f t="shared" si="56"/>
        <v>0</v>
      </c>
      <c r="M106" s="8">
        <f t="shared" si="57"/>
        <v>1</v>
      </c>
      <c r="N106" s="8">
        <f t="shared" si="58"/>
        <v>0</v>
      </c>
      <c r="O106" s="8">
        <f t="shared" si="59"/>
        <v>0</v>
      </c>
      <c r="P106" s="8">
        <f t="shared" si="60"/>
        <v>4</v>
      </c>
      <c r="Q106" s="8">
        <f t="shared" si="61"/>
        <v>0</v>
      </c>
      <c r="R106" s="8">
        <f t="shared" si="62"/>
        <v>0</v>
      </c>
      <c r="S106" s="8">
        <f t="shared" si="63"/>
        <v>0</v>
      </c>
      <c r="T106" s="8">
        <f t="shared" si="64"/>
        <v>0</v>
      </c>
      <c r="V106" s="8">
        <f t="shared" si="65"/>
        <v>4</v>
      </c>
      <c r="W106">
        <f t="shared" si="66"/>
        <v>1</v>
      </c>
      <c r="Y106" t="str">
        <f t="shared" si="68"/>
        <v>sadness</v>
      </c>
    </row>
    <row r="107" spans="2:25" x14ac:dyDescent="0.25">
      <c r="B107" s="5">
        <v>105</v>
      </c>
      <c r="C107" t="s">
        <v>3</v>
      </c>
      <c r="D107" t="s">
        <v>3</v>
      </c>
      <c r="E107" t="s">
        <v>2</v>
      </c>
      <c r="F107" t="s">
        <v>3</v>
      </c>
      <c r="G107" t="s">
        <v>3</v>
      </c>
      <c r="J107" s="15" t="s">
        <v>654</v>
      </c>
      <c r="K107" s="5">
        <v>105</v>
      </c>
      <c r="L107" s="8">
        <f t="shared" si="56"/>
        <v>4</v>
      </c>
      <c r="M107" s="8">
        <f t="shared" si="57"/>
        <v>0</v>
      </c>
      <c r="N107" s="8">
        <f t="shared" si="58"/>
        <v>0</v>
      </c>
      <c r="O107" s="8">
        <f t="shared" si="59"/>
        <v>0</v>
      </c>
      <c r="P107" s="8">
        <f t="shared" si="60"/>
        <v>0</v>
      </c>
      <c r="Q107" s="8">
        <f t="shared" si="61"/>
        <v>0</v>
      </c>
      <c r="R107" s="8">
        <f t="shared" si="62"/>
        <v>0</v>
      </c>
      <c r="S107" s="8">
        <f t="shared" si="63"/>
        <v>0</v>
      </c>
      <c r="T107" s="8">
        <f t="shared" si="64"/>
        <v>1</v>
      </c>
      <c r="V107" s="8">
        <f t="shared" si="65"/>
        <v>4</v>
      </c>
      <c r="W107">
        <f t="shared" si="66"/>
        <v>1</v>
      </c>
      <c r="Y107" t="str">
        <f t="shared" si="68"/>
        <v>joy</v>
      </c>
    </row>
    <row r="108" spans="2:25" x14ac:dyDescent="0.25">
      <c r="B108" s="5">
        <v>106</v>
      </c>
      <c r="C108" t="s">
        <v>3</v>
      </c>
      <c r="D108" t="s">
        <v>3</v>
      </c>
      <c r="E108" t="s">
        <v>2</v>
      </c>
      <c r="F108" t="s">
        <v>3</v>
      </c>
      <c r="G108" t="s">
        <v>3</v>
      </c>
      <c r="J108" s="15" t="s">
        <v>654</v>
      </c>
      <c r="K108" s="5">
        <v>106</v>
      </c>
      <c r="L108" s="8">
        <f t="shared" si="56"/>
        <v>4</v>
      </c>
      <c r="M108" s="8">
        <f t="shared" si="57"/>
        <v>0</v>
      </c>
      <c r="N108" s="8">
        <f t="shared" si="58"/>
        <v>0</v>
      </c>
      <c r="O108" s="8">
        <f t="shared" si="59"/>
        <v>0</v>
      </c>
      <c r="P108" s="8">
        <f t="shared" si="60"/>
        <v>0</v>
      </c>
      <c r="Q108" s="8">
        <f t="shared" si="61"/>
        <v>0</v>
      </c>
      <c r="R108" s="8">
        <f t="shared" si="62"/>
        <v>0</v>
      </c>
      <c r="S108" s="8">
        <f t="shared" si="63"/>
        <v>0</v>
      </c>
      <c r="T108" s="8">
        <f t="shared" si="64"/>
        <v>1</v>
      </c>
      <c r="V108" s="8">
        <f t="shared" si="65"/>
        <v>4</v>
      </c>
      <c r="W108">
        <f t="shared" si="66"/>
        <v>1</v>
      </c>
      <c r="Y108" t="str">
        <f t="shared" si="68"/>
        <v>joy</v>
      </c>
    </row>
    <row r="109" spans="2:25" x14ac:dyDescent="0.25">
      <c r="B109" s="5">
        <v>107</v>
      </c>
      <c r="C109" t="s">
        <v>1</v>
      </c>
      <c r="D109" t="s">
        <v>1</v>
      </c>
      <c r="E109" t="s">
        <v>0</v>
      </c>
      <c r="F109" t="s">
        <v>1</v>
      </c>
      <c r="G109" t="s">
        <v>1</v>
      </c>
      <c r="J109" s="15" t="s">
        <v>654</v>
      </c>
      <c r="K109" s="5">
        <v>107</v>
      </c>
      <c r="L109" s="8">
        <f t="shared" si="56"/>
        <v>0</v>
      </c>
      <c r="M109" s="8">
        <f t="shared" si="57"/>
        <v>4</v>
      </c>
      <c r="N109" s="8">
        <f t="shared" si="58"/>
        <v>0</v>
      </c>
      <c r="O109" s="8">
        <f t="shared" si="59"/>
        <v>0</v>
      </c>
      <c r="P109" s="8">
        <f t="shared" si="60"/>
        <v>0</v>
      </c>
      <c r="Q109" s="8">
        <f t="shared" si="61"/>
        <v>1</v>
      </c>
      <c r="R109" s="8">
        <f t="shared" si="62"/>
        <v>0</v>
      </c>
      <c r="S109" s="8">
        <f t="shared" si="63"/>
        <v>0</v>
      </c>
      <c r="T109" s="8">
        <f t="shared" si="64"/>
        <v>0</v>
      </c>
      <c r="V109" s="8">
        <f t="shared" si="65"/>
        <v>4</v>
      </c>
      <c r="W109">
        <f t="shared" si="66"/>
        <v>1</v>
      </c>
      <c r="Y109" t="str">
        <f t="shared" si="68"/>
        <v>trust</v>
      </c>
    </row>
    <row r="110" spans="2:25" x14ac:dyDescent="0.25">
      <c r="B110" s="5">
        <v>108</v>
      </c>
      <c r="C110" t="s">
        <v>3</v>
      </c>
      <c r="D110" t="s">
        <v>6</v>
      </c>
      <c r="E110" t="s">
        <v>6</v>
      </c>
      <c r="F110" t="s">
        <v>6</v>
      </c>
      <c r="G110" t="s">
        <v>1</v>
      </c>
      <c r="J110" s="15">
        <v>1</v>
      </c>
      <c r="K110" s="5">
        <v>108</v>
      </c>
      <c r="L110" s="8">
        <f t="shared" si="56"/>
        <v>1</v>
      </c>
      <c r="M110" s="8">
        <f t="shared" si="57"/>
        <v>1</v>
      </c>
      <c r="N110" s="8">
        <f t="shared" si="58"/>
        <v>3</v>
      </c>
      <c r="O110" s="8">
        <f t="shared" si="59"/>
        <v>0</v>
      </c>
      <c r="P110" s="8">
        <f t="shared" si="60"/>
        <v>0</v>
      </c>
      <c r="Q110" s="8">
        <f t="shared" si="61"/>
        <v>0</v>
      </c>
      <c r="R110" s="8">
        <f t="shared" si="62"/>
        <v>0</v>
      </c>
      <c r="S110" s="8">
        <f t="shared" si="63"/>
        <v>0</v>
      </c>
      <c r="T110" s="8">
        <f t="shared" si="64"/>
        <v>0</v>
      </c>
      <c r="V110" s="8">
        <f t="shared" si="65"/>
        <v>3</v>
      </c>
      <c r="W110">
        <f t="shared" si="66"/>
        <v>1</v>
      </c>
      <c r="Y110" t="str">
        <f t="shared" si="68"/>
        <v>fear</v>
      </c>
    </row>
    <row r="111" spans="2:25" x14ac:dyDescent="0.25">
      <c r="B111" s="5">
        <v>109</v>
      </c>
      <c r="C111" t="s">
        <v>5</v>
      </c>
      <c r="D111" t="s">
        <v>6</v>
      </c>
      <c r="E111" t="s">
        <v>3</v>
      </c>
      <c r="F111" t="s">
        <v>6</v>
      </c>
      <c r="G111" t="s">
        <v>6</v>
      </c>
      <c r="J111" s="15">
        <v>1</v>
      </c>
      <c r="K111" s="5">
        <v>109</v>
      </c>
      <c r="L111" s="8">
        <f t="shared" si="56"/>
        <v>1</v>
      </c>
      <c r="M111" s="8">
        <f t="shared" si="57"/>
        <v>0</v>
      </c>
      <c r="N111" s="8">
        <f t="shared" si="58"/>
        <v>3</v>
      </c>
      <c r="O111" s="8">
        <f t="shared" si="59"/>
        <v>0</v>
      </c>
      <c r="P111" s="8">
        <f t="shared" si="60"/>
        <v>1</v>
      </c>
      <c r="Q111" s="8">
        <f t="shared" si="61"/>
        <v>0</v>
      </c>
      <c r="R111" s="8">
        <f t="shared" si="62"/>
        <v>0</v>
      </c>
      <c r="S111" s="8">
        <f t="shared" si="63"/>
        <v>0</v>
      </c>
      <c r="T111" s="8">
        <f t="shared" si="64"/>
        <v>0</v>
      </c>
      <c r="V111" s="8">
        <f t="shared" si="65"/>
        <v>3</v>
      </c>
      <c r="W111">
        <f t="shared" si="66"/>
        <v>1</v>
      </c>
      <c r="Y111" t="str">
        <f t="shared" si="68"/>
        <v>fear</v>
      </c>
    </row>
    <row r="112" spans="2:25" x14ac:dyDescent="0.25">
      <c r="B112" s="5">
        <v>110</v>
      </c>
      <c r="C112" t="s">
        <v>1</v>
      </c>
      <c r="D112" t="s">
        <v>1</v>
      </c>
      <c r="E112" t="s">
        <v>2</v>
      </c>
      <c r="F112" t="s">
        <v>1</v>
      </c>
      <c r="G112" t="s">
        <v>1</v>
      </c>
      <c r="J112" s="15" t="s">
        <v>654</v>
      </c>
      <c r="K112" s="5">
        <v>110</v>
      </c>
      <c r="L112" s="8">
        <f t="shared" si="56"/>
        <v>0</v>
      </c>
      <c r="M112" s="8">
        <f t="shared" si="57"/>
        <v>4</v>
      </c>
      <c r="N112" s="8">
        <f t="shared" si="58"/>
        <v>0</v>
      </c>
      <c r="O112" s="8">
        <f t="shared" si="59"/>
        <v>0</v>
      </c>
      <c r="P112" s="8">
        <f t="shared" si="60"/>
        <v>0</v>
      </c>
      <c r="Q112" s="8">
        <f t="shared" si="61"/>
        <v>0</v>
      </c>
      <c r="R112" s="8">
        <f t="shared" si="62"/>
        <v>0</v>
      </c>
      <c r="S112" s="8">
        <f t="shared" si="63"/>
        <v>0</v>
      </c>
      <c r="T112" s="8">
        <f t="shared" si="64"/>
        <v>1</v>
      </c>
      <c r="V112" s="8">
        <f t="shared" si="65"/>
        <v>4</v>
      </c>
      <c r="W112">
        <f t="shared" si="66"/>
        <v>1</v>
      </c>
      <c r="Y112" t="str">
        <f t="shared" si="68"/>
        <v>trust</v>
      </c>
    </row>
    <row r="113" spans="2:25" x14ac:dyDescent="0.25">
      <c r="B113" s="5">
        <v>111</v>
      </c>
      <c r="C113" t="s">
        <v>3</v>
      </c>
      <c r="D113" t="s">
        <v>1</v>
      </c>
      <c r="E113" t="s">
        <v>2</v>
      </c>
      <c r="F113" t="s">
        <v>1</v>
      </c>
      <c r="G113" t="s">
        <v>1</v>
      </c>
      <c r="J113" s="15">
        <v>1</v>
      </c>
      <c r="K113" s="5">
        <v>111</v>
      </c>
      <c r="L113" s="8">
        <f t="shared" si="56"/>
        <v>1</v>
      </c>
      <c r="M113" s="8">
        <f t="shared" si="57"/>
        <v>3</v>
      </c>
      <c r="N113" s="8">
        <f t="shared" si="58"/>
        <v>0</v>
      </c>
      <c r="O113" s="8">
        <f t="shared" si="59"/>
        <v>0</v>
      </c>
      <c r="P113" s="8">
        <f t="shared" si="60"/>
        <v>0</v>
      </c>
      <c r="Q113" s="8">
        <f t="shared" si="61"/>
        <v>0</v>
      </c>
      <c r="R113" s="8">
        <f t="shared" si="62"/>
        <v>0</v>
      </c>
      <c r="S113" s="8">
        <f t="shared" si="63"/>
        <v>0</v>
      </c>
      <c r="T113" s="8">
        <f t="shared" si="64"/>
        <v>1</v>
      </c>
      <c r="V113" s="8">
        <f t="shared" si="65"/>
        <v>3</v>
      </c>
      <c r="W113">
        <f t="shared" si="66"/>
        <v>1</v>
      </c>
      <c r="Y113" t="str">
        <f t="shared" si="68"/>
        <v>trust</v>
      </c>
    </row>
    <row r="114" spans="2:25" x14ac:dyDescent="0.25">
      <c r="B114" s="5">
        <v>112</v>
      </c>
      <c r="C114" t="s">
        <v>1</v>
      </c>
      <c r="D114" t="s">
        <v>3</v>
      </c>
      <c r="E114" t="s">
        <v>3</v>
      </c>
      <c r="F114" t="s">
        <v>3</v>
      </c>
      <c r="G114" t="s">
        <v>3</v>
      </c>
      <c r="J114" s="15" t="s">
        <v>654</v>
      </c>
      <c r="K114" s="5">
        <v>112</v>
      </c>
      <c r="L114" s="8">
        <f t="shared" si="56"/>
        <v>4</v>
      </c>
      <c r="M114" s="8">
        <f t="shared" si="57"/>
        <v>1</v>
      </c>
      <c r="N114" s="8">
        <f t="shared" si="58"/>
        <v>0</v>
      </c>
      <c r="O114" s="8">
        <f t="shared" si="59"/>
        <v>0</v>
      </c>
      <c r="P114" s="8">
        <f t="shared" si="60"/>
        <v>0</v>
      </c>
      <c r="Q114" s="8">
        <f t="shared" si="61"/>
        <v>0</v>
      </c>
      <c r="R114" s="8">
        <f t="shared" si="62"/>
        <v>0</v>
      </c>
      <c r="S114" s="8">
        <f t="shared" si="63"/>
        <v>0</v>
      </c>
      <c r="T114" s="8">
        <f t="shared" si="64"/>
        <v>0</v>
      </c>
      <c r="V114" s="8">
        <f t="shared" si="65"/>
        <v>4</v>
      </c>
      <c r="W114">
        <f t="shared" si="66"/>
        <v>1</v>
      </c>
      <c r="Y114" t="str">
        <f>INDEX($L$2:$T$2,MATCH(MAX(L114:T114),L114:T114,0))</f>
        <v>joy</v>
      </c>
    </row>
    <row r="115" spans="2:25" x14ac:dyDescent="0.25">
      <c r="B115" s="5">
        <v>113</v>
      </c>
      <c r="C115" t="s">
        <v>8</v>
      </c>
      <c r="D115" t="s">
        <v>8</v>
      </c>
      <c r="E115" t="s">
        <v>3</v>
      </c>
      <c r="F115" t="s">
        <v>8</v>
      </c>
      <c r="G115" t="s">
        <v>1</v>
      </c>
      <c r="J115" s="15">
        <v>1</v>
      </c>
      <c r="K115" s="5">
        <v>113</v>
      </c>
      <c r="L115" s="8">
        <f t="shared" si="56"/>
        <v>1</v>
      </c>
      <c r="M115" s="8">
        <f t="shared" si="57"/>
        <v>1</v>
      </c>
      <c r="N115" s="8">
        <f t="shared" si="58"/>
        <v>0</v>
      </c>
      <c r="O115" s="8">
        <f t="shared" si="59"/>
        <v>0</v>
      </c>
      <c r="P115" s="8">
        <f t="shared" si="60"/>
        <v>0</v>
      </c>
      <c r="Q115" s="8">
        <f t="shared" si="61"/>
        <v>0</v>
      </c>
      <c r="R115" s="8">
        <f t="shared" si="62"/>
        <v>0</v>
      </c>
      <c r="S115" s="8">
        <f t="shared" si="63"/>
        <v>3</v>
      </c>
      <c r="T115" s="8">
        <f t="shared" si="64"/>
        <v>0</v>
      </c>
      <c r="V115" s="8">
        <f t="shared" si="65"/>
        <v>3</v>
      </c>
      <c r="W115">
        <f t="shared" si="66"/>
        <v>1</v>
      </c>
      <c r="Y115" t="str">
        <f t="shared" ref="Y115:Y126" si="69">INDEX($L$2:$T$2,MATCH(MAX(L115:T115),L115:T115,0))</f>
        <v>anticipation</v>
      </c>
    </row>
    <row r="116" spans="2:25" x14ac:dyDescent="0.25">
      <c r="B116" s="5">
        <v>114</v>
      </c>
      <c r="C116" t="s">
        <v>4</v>
      </c>
      <c r="D116" t="s">
        <v>4</v>
      </c>
      <c r="E116" t="s">
        <v>2</v>
      </c>
      <c r="F116" t="s">
        <v>4</v>
      </c>
      <c r="G116" t="s">
        <v>1</v>
      </c>
      <c r="J116" s="15">
        <v>1</v>
      </c>
      <c r="K116" s="5">
        <v>114</v>
      </c>
      <c r="L116" s="8">
        <f t="shared" si="56"/>
        <v>0</v>
      </c>
      <c r="M116" s="8">
        <f t="shared" si="57"/>
        <v>1</v>
      </c>
      <c r="N116" s="8">
        <f t="shared" si="58"/>
        <v>0</v>
      </c>
      <c r="O116" s="8">
        <f t="shared" si="59"/>
        <v>0</v>
      </c>
      <c r="P116" s="8">
        <f t="shared" si="60"/>
        <v>0</v>
      </c>
      <c r="Q116" s="8">
        <f t="shared" si="61"/>
        <v>0</v>
      </c>
      <c r="R116" s="8">
        <f t="shared" si="62"/>
        <v>3</v>
      </c>
      <c r="S116" s="8">
        <f t="shared" si="63"/>
        <v>0</v>
      </c>
      <c r="T116" s="8">
        <f t="shared" si="64"/>
        <v>1</v>
      </c>
      <c r="V116" s="8">
        <f t="shared" si="65"/>
        <v>3</v>
      </c>
      <c r="W116">
        <f t="shared" si="66"/>
        <v>1</v>
      </c>
      <c r="Y116" t="str">
        <f t="shared" si="69"/>
        <v>anger</v>
      </c>
    </row>
    <row r="117" spans="2:25" x14ac:dyDescent="0.25">
      <c r="B117" s="5">
        <v>115</v>
      </c>
      <c r="C117" t="s">
        <v>3</v>
      </c>
      <c r="D117" t="s">
        <v>2</v>
      </c>
      <c r="E117" t="s">
        <v>2</v>
      </c>
      <c r="F117" t="s">
        <v>2</v>
      </c>
      <c r="G117" t="s">
        <v>1</v>
      </c>
      <c r="J117" s="15">
        <v>1</v>
      </c>
      <c r="K117" s="5">
        <v>115</v>
      </c>
      <c r="L117" s="8">
        <f t="shared" si="56"/>
        <v>1</v>
      </c>
      <c r="M117" s="8">
        <f t="shared" si="57"/>
        <v>1</v>
      </c>
      <c r="N117" s="8">
        <f t="shared" si="58"/>
        <v>0</v>
      </c>
      <c r="O117" s="8">
        <f t="shared" si="59"/>
        <v>0</v>
      </c>
      <c r="P117" s="8">
        <f t="shared" si="60"/>
        <v>0</v>
      </c>
      <c r="Q117" s="8">
        <f t="shared" si="61"/>
        <v>0</v>
      </c>
      <c r="R117" s="8">
        <f t="shared" si="62"/>
        <v>0</v>
      </c>
      <c r="S117" s="8">
        <f t="shared" si="63"/>
        <v>0</v>
      </c>
      <c r="T117" s="8">
        <f t="shared" si="64"/>
        <v>3</v>
      </c>
      <c r="V117" s="8">
        <f t="shared" si="65"/>
        <v>3</v>
      </c>
      <c r="W117">
        <f t="shared" si="66"/>
        <v>1</v>
      </c>
      <c r="Y117" t="str">
        <f t="shared" si="69"/>
        <v>AMBIGUOUS</v>
      </c>
    </row>
    <row r="118" spans="2:25" x14ac:dyDescent="0.25">
      <c r="B118" s="5">
        <v>116</v>
      </c>
      <c r="C118" t="s">
        <v>3</v>
      </c>
      <c r="D118" t="s">
        <v>2</v>
      </c>
      <c r="E118" t="s">
        <v>2</v>
      </c>
      <c r="F118" t="s">
        <v>2</v>
      </c>
      <c r="G118" t="s">
        <v>1</v>
      </c>
      <c r="J118" s="15">
        <v>1</v>
      </c>
      <c r="K118" s="5">
        <v>116</v>
      </c>
      <c r="L118" s="8">
        <f t="shared" si="56"/>
        <v>1</v>
      </c>
      <c r="M118" s="8">
        <f t="shared" si="57"/>
        <v>1</v>
      </c>
      <c r="N118" s="8">
        <f t="shared" si="58"/>
        <v>0</v>
      </c>
      <c r="O118" s="8">
        <f t="shared" si="59"/>
        <v>0</v>
      </c>
      <c r="P118" s="8">
        <f t="shared" si="60"/>
        <v>0</v>
      </c>
      <c r="Q118" s="8">
        <f t="shared" si="61"/>
        <v>0</v>
      </c>
      <c r="R118" s="8">
        <f t="shared" si="62"/>
        <v>0</v>
      </c>
      <c r="S118" s="8">
        <f t="shared" si="63"/>
        <v>0</v>
      </c>
      <c r="T118" s="8">
        <f t="shared" si="64"/>
        <v>3</v>
      </c>
      <c r="V118" s="8">
        <f t="shared" si="65"/>
        <v>3</v>
      </c>
      <c r="W118">
        <f t="shared" si="66"/>
        <v>1</v>
      </c>
      <c r="Y118" t="str">
        <f t="shared" si="69"/>
        <v>AMBIGUOUS</v>
      </c>
    </row>
    <row r="119" spans="2:25" x14ac:dyDescent="0.25">
      <c r="B119" s="5">
        <v>117</v>
      </c>
      <c r="C119" t="s">
        <v>1</v>
      </c>
      <c r="D119" t="s">
        <v>1</v>
      </c>
      <c r="E119" t="s">
        <v>1</v>
      </c>
      <c r="F119" t="s">
        <v>1</v>
      </c>
      <c r="G119" t="s">
        <v>1</v>
      </c>
      <c r="J119" s="15" t="s">
        <v>654</v>
      </c>
      <c r="K119" s="5">
        <v>117</v>
      </c>
      <c r="L119" s="8">
        <f t="shared" si="56"/>
        <v>0</v>
      </c>
      <c r="M119" s="8">
        <f t="shared" si="57"/>
        <v>5</v>
      </c>
      <c r="N119" s="8">
        <f t="shared" si="58"/>
        <v>0</v>
      </c>
      <c r="O119" s="8">
        <f t="shared" si="59"/>
        <v>0</v>
      </c>
      <c r="P119" s="8">
        <f t="shared" si="60"/>
        <v>0</v>
      </c>
      <c r="Q119" s="8">
        <f t="shared" si="61"/>
        <v>0</v>
      </c>
      <c r="R119" s="8">
        <f t="shared" si="62"/>
        <v>0</v>
      </c>
      <c r="S119" s="8">
        <f t="shared" si="63"/>
        <v>0</v>
      </c>
      <c r="T119" s="8">
        <f t="shared" si="64"/>
        <v>0</v>
      </c>
      <c r="V119" s="8">
        <f t="shared" si="65"/>
        <v>5</v>
      </c>
      <c r="W119">
        <f t="shared" si="66"/>
        <v>1</v>
      </c>
      <c r="Y119" t="str">
        <f t="shared" si="69"/>
        <v>trust</v>
      </c>
    </row>
    <row r="120" spans="2:25" x14ac:dyDescent="0.25">
      <c r="B120" s="5">
        <v>118</v>
      </c>
      <c r="C120" t="s">
        <v>3</v>
      </c>
      <c r="D120" t="s">
        <v>3</v>
      </c>
      <c r="E120" t="s">
        <v>2</v>
      </c>
      <c r="F120" t="s">
        <v>3</v>
      </c>
      <c r="G120" t="s">
        <v>3</v>
      </c>
      <c r="J120" s="15" t="s">
        <v>654</v>
      </c>
      <c r="K120" s="5">
        <v>118</v>
      </c>
      <c r="L120" s="8">
        <f t="shared" si="56"/>
        <v>4</v>
      </c>
      <c r="M120" s="8">
        <f t="shared" si="57"/>
        <v>0</v>
      </c>
      <c r="N120" s="8">
        <f t="shared" si="58"/>
        <v>0</v>
      </c>
      <c r="O120" s="8">
        <f t="shared" si="59"/>
        <v>0</v>
      </c>
      <c r="P120" s="8">
        <f t="shared" si="60"/>
        <v>0</v>
      </c>
      <c r="Q120" s="8">
        <f t="shared" si="61"/>
        <v>0</v>
      </c>
      <c r="R120" s="8">
        <f t="shared" si="62"/>
        <v>0</v>
      </c>
      <c r="S120" s="8">
        <f t="shared" si="63"/>
        <v>0</v>
      </c>
      <c r="T120" s="8">
        <f t="shared" si="64"/>
        <v>1</v>
      </c>
      <c r="V120" s="8">
        <f t="shared" si="65"/>
        <v>4</v>
      </c>
      <c r="W120">
        <f t="shared" si="66"/>
        <v>1</v>
      </c>
      <c r="Y120" t="str">
        <f t="shared" si="69"/>
        <v>joy</v>
      </c>
    </row>
    <row r="121" spans="2:25" x14ac:dyDescent="0.25">
      <c r="B121" s="5">
        <v>119</v>
      </c>
      <c r="C121" t="s">
        <v>5</v>
      </c>
      <c r="D121" t="s">
        <v>0</v>
      </c>
      <c r="E121" t="s">
        <v>1</v>
      </c>
      <c r="F121" t="s">
        <v>0</v>
      </c>
      <c r="G121" t="s">
        <v>0</v>
      </c>
      <c r="J121" s="15">
        <v>1</v>
      </c>
      <c r="K121" s="5">
        <v>119</v>
      </c>
      <c r="L121" s="8">
        <f t="shared" ref="L121:L184" si="70">COUNTIFS(C121:G121, "joy")</f>
        <v>0</v>
      </c>
      <c r="M121" s="8">
        <f t="shared" ref="M121:M184" si="71">COUNTIFS(C121:G121, "trust")</f>
        <v>1</v>
      </c>
      <c r="N121" s="8">
        <f t="shared" ref="N121:N184" si="72">COUNTIFS(C121:G121, "fear")</f>
        <v>0</v>
      </c>
      <c r="O121" s="8">
        <f t="shared" ref="O121:O184" si="73">COUNTIFS(C121:G121, "surprise")</f>
        <v>0</v>
      </c>
      <c r="P121" s="8">
        <f t="shared" ref="P121:P184" si="74">COUNTIFS(C121:G121, "sadness")</f>
        <v>1</v>
      </c>
      <c r="Q121" s="8">
        <f t="shared" ref="Q121:Q184" si="75">COUNTIFS(C121:G121, "disgust")</f>
        <v>3</v>
      </c>
      <c r="R121" s="8">
        <f t="shared" ref="R121:R184" si="76">COUNTIFS(C121:G121, "anger")</f>
        <v>0</v>
      </c>
      <c r="S121" s="8">
        <f t="shared" ref="S121:S184" si="77">COUNTIFS(C121:G121, "anticipation")</f>
        <v>0</v>
      </c>
      <c r="T121" s="8">
        <f t="shared" ref="T121:T184" si="78">COUNTIFS(C121:G121, "AMBIGUOUS")</f>
        <v>0</v>
      </c>
      <c r="V121" s="8">
        <f t="shared" si="65"/>
        <v>3</v>
      </c>
      <c r="W121">
        <f t="shared" si="66"/>
        <v>1</v>
      </c>
      <c r="Y121" t="str">
        <f t="shared" si="69"/>
        <v>disgust</v>
      </c>
    </row>
    <row r="122" spans="2:25" x14ac:dyDescent="0.25">
      <c r="B122" s="5">
        <v>120</v>
      </c>
      <c r="C122" t="s">
        <v>4</v>
      </c>
      <c r="D122" t="s">
        <v>2</v>
      </c>
      <c r="E122" t="s">
        <v>2</v>
      </c>
      <c r="F122" t="s">
        <v>2</v>
      </c>
      <c r="G122" t="s">
        <v>2</v>
      </c>
      <c r="J122" s="15" t="s">
        <v>654</v>
      </c>
      <c r="K122" s="5">
        <v>120</v>
      </c>
      <c r="L122" s="8">
        <f t="shared" si="70"/>
        <v>0</v>
      </c>
      <c r="M122" s="8">
        <f t="shared" si="71"/>
        <v>0</v>
      </c>
      <c r="N122" s="8">
        <f t="shared" si="72"/>
        <v>0</v>
      </c>
      <c r="O122" s="8">
        <f t="shared" si="73"/>
        <v>0</v>
      </c>
      <c r="P122" s="8">
        <f t="shared" si="74"/>
        <v>0</v>
      </c>
      <c r="Q122" s="8">
        <f t="shared" si="75"/>
        <v>0</v>
      </c>
      <c r="R122" s="8">
        <f t="shared" si="76"/>
        <v>1</v>
      </c>
      <c r="S122" s="8">
        <f t="shared" si="77"/>
        <v>0</v>
      </c>
      <c r="T122" s="8">
        <f t="shared" si="78"/>
        <v>4</v>
      </c>
      <c r="V122" s="8">
        <f t="shared" si="65"/>
        <v>4</v>
      </c>
      <c r="W122">
        <f t="shared" si="66"/>
        <v>1</v>
      </c>
      <c r="Y122" t="str">
        <f t="shared" si="69"/>
        <v>AMBIGUOUS</v>
      </c>
    </row>
    <row r="123" spans="2:25" x14ac:dyDescent="0.25">
      <c r="B123" s="5">
        <v>121</v>
      </c>
      <c r="C123" t="s">
        <v>3</v>
      </c>
      <c r="D123" t="s">
        <v>3</v>
      </c>
      <c r="E123" t="s">
        <v>2</v>
      </c>
      <c r="F123" t="s">
        <v>3</v>
      </c>
      <c r="G123" t="s">
        <v>3</v>
      </c>
      <c r="J123" s="15" t="s">
        <v>654</v>
      </c>
      <c r="K123" s="5">
        <v>121</v>
      </c>
      <c r="L123" s="8">
        <f t="shared" si="70"/>
        <v>4</v>
      </c>
      <c r="M123" s="8">
        <f t="shared" si="71"/>
        <v>0</v>
      </c>
      <c r="N123" s="8">
        <f t="shared" si="72"/>
        <v>0</v>
      </c>
      <c r="O123" s="8">
        <f t="shared" si="73"/>
        <v>0</v>
      </c>
      <c r="P123" s="8">
        <f t="shared" si="74"/>
        <v>0</v>
      </c>
      <c r="Q123" s="8">
        <f t="shared" si="75"/>
        <v>0</v>
      </c>
      <c r="R123" s="8">
        <f t="shared" si="76"/>
        <v>0</v>
      </c>
      <c r="S123" s="8">
        <f t="shared" si="77"/>
        <v>0</v>
      </c>
      <c r="T123" s="8">
        <f t="shared" si="78"/>
        <v>1</v>
      </c>
      <c r="V123" s="8">
        <f t="shared" si="65"/>
        <v>4</v>
      </c>
      <c r="W123">
        <f t="shared" si="66"/>
        <v>1</v>
      </c>
      <c r="Y123" t="str">
        <f t="shared" si="69"/>
        <v>joy</v>
      </c>
    </row>
    <row r="124" spans="2:25" x14ac:dyDescent="0.25">
      <c r="B124" s="5">
        <v>122</v>
      </c>
      <c r="C124" t="s">
        <v>3</v>
      </c>
      <c r="D124" t="s">
        <v>3</v>
      </c>
      <c r="E124" t="s">
        <v>3</v>
      </c>
      <c r="F124" t="s">
        <v>3</v>
      </c>
      <c r="G124" t="s">
        <v>3</v>
      </c>
      <c r="J124" s="15" t="s">
        <v>654</v>
      </c>
      <c r="K124" s="5">
        <v>122</v>
      </c>
      <c r="L124" s="8">
        <f t="shared" si="70"/>
        <v>5</v>
      </c>
      <c r="M124" s="8">
        <f t="shared" si="71"/>
        <v>0</v>
      </c>
      <c r="N124" s="8">
        <f t="shared" si="72"/>
        <v>0</v>
      </c>
      <c r="O124" s="8">
        <f t="shared" si="73"/>
        <v>0</v>
      </c>
      <c r="P124" s="8">
        <f t="shared" si="74"/>
        <v>0</v>
      </c>
      <c r="Q124" s="8">
        <f t="shared" si="75"/>
        <v>0</v>
      </c>
      <c r="R124" s="8">
        <f t="shared" si="76"/>
        <v>0</v>
      </c>
      <c r="S124" s="8">
        <f t="shared" si="77"/>
        <v>0</v>
      </c>
      <c r="T124" s="8">
        <f t="shared" si="78"/>
        <v>0</v>
      </c>
      <c r="V124" s="8">
        <f t="shared" si="65"/>
        <v>5</v>
      </c>
      <c r="W124">
        <f t="shared" si="66"/>
        <v>1</v>
      </c>
      <c r="Y124" t="str">
        <f t="shared" si="69"/>
        <v>joy</v>
      </c>
    </row>
    <row r="125" spans="2:25" x14ac:dyDescent="0.25">
      <c r="B125" s="5">
        <v>123</v>
      </c>
      <c r="C125" t="s">
        <v>1</v>
      </c>
      <c r="D125" t="s">
        <v>1</v>
      </c>
      <c r="E125" t="s">
        <v>2</v>
      </c>
      <c r="F125" t="s">
        <v>1</v>
      </c>
      <c r="G125" t="s">
        <v>1</v>
      </c>
      <c r="J125" s="15" t="s">
        <v>654</v>
      </c>
      <c r="K125" s="5">
        <v>123</v>
      </c>
      <c r="L125" s="8">
        <f t="shared" si="70"/>
        <v>0</v>
      </c>
      <c r="M125" s="8">
        <f t="shared" si="71"/>
        <v>4</v>
      </c>
      <c r="N125" s="8">
        <f t="shared" si="72"/>
        <v>0</v>
      </c>
      <c r="O125" s="8">
        <f t="shared" si="73"/>
        <v>0</v>
      </c>
      <c r="P125" s="8">
        <f t="shared" si="74"/>
        <v>0</v>
      </c>
      <c r="Q125" s="8">
        <f t="shared" si="75"/>
        <v>0</v>
      </c>
      <c r="R125" s="8">
        <f t="shared" si="76"/>
        <v>0</v>
      </c>
      <c r="S125" s="8">
        <f t="shared" si="77"/>
        <v>0</v>
      </c>
      <c r="T125" s="8">
        <f t="shared" si="78"/>
        <v>1</v>
      </c>
      <c r="V125" s="8">
        <f t="shared" si="65"/>
        <v>4</v>
      </c>
      <c r="W125">
        <f t="shared" si="66"/>
        <v>1</v>
      </c>
      <c r="Y125" t="str">
        <f t="shared" si="69"/>
        <v>trust</v>
      </c>
    </row>
    <row r="126" spans="2:25" x14ac:dyDescent="0.25">
      <c r="B126" s="5">
        <v>124</v>
      </c>
      <c r="C126" t="s">
        <v>4</v>
      </c>
      <c r="D126" t="s">
        <v>4</v>
      </c>
      <c r="E126" t="s">
        <v>2</v>
      </c>
      <c r="F126" t="s">
        <v>4</v>
      </c>
      <c r="G126" t="s">
        <v>4</v>
      </c>
      <c r="J126" s="15" t="s">
        <v>654</v>
      </c>
      <c r="K126" s="5">
        <v>124</v>
      </c>
      <c r="L126" s="8">
        <f t="shared" si="70"/>
        <v>0</v>
      </c>
      <c r="M126" s="8">
        <f t="shared" si="71"/>
        <v>0</v>
      </c>
      <c r="N126" s="8">
        <f t="shared" si="72"/>
        <v>0</v>
      </c>
      <c r="O126" s="8">
        <f t="shared" si="73"/>
        <v>0</v>
      </c>
      <c r="P126" s="8">
        <f t="shared" si="74"/>
        <v>0</v>
      </c>
      <c r="Q126" s="8">
        <f t="shared" si="75"/>
        <v>0</v>
      </c>
      <c r="R126" s="8">
        <f t="shared" si="76"/>
        <v>4</v>
      </c>
      <c r="S126" s="8">
        <f t="shared" si="77"/>
        <v>0</v>
      </c>
      <c r="T126" s="8">
        <f t="shared" si="78"/>
        <v>1</v>
      </c>
      <c r="V126" s="8">
        <f t="shared" si="65"/>
        <v>4</v>
      </c>
      <c r="W126">
        <f t="shared" si="66"/>
        <v>1</v>
      </c>
      <c r="Y126" t="str">
        <f t="shared" si="69"/>
        <v>anger</v>
      </c>
    </row>
    <row r="127" spans="2:25" x14ac:dyDescent="0.25">
      <c r="B127" s="5">
        <v>125</v>
      </c>
      <c r="C127" t="s">
        <v>6</v>
      </c>
      <c r="D127" t="s">
        <v>6</v>
      </c>
      <c r="E127" t="s">
        <v>6</v>
      </c>
      <c r="F127" t="s">
        <v>6</v>
      </c>
      <c r="G127" t="s">
        <v>4</v>
      </c>
      <c r="J127" s="15" t="s">
        <v>654</v>
      </c>
      <c r="K127" s="5">
        <v>125</v>
      </c>
      <c r="L127" s="8">
        <f t="shared" si="70"/>
        <v>0</v>
      </c>
      <c r="M127" s="8">
        <f t="shared" si="71"/>
        <v>0</v>
      </c>
      <c r="N127" s="8">
        <f t="shared" si="72"/>
        <v>4</v>
      </c>
      <c r="O127" s="8">
        <f t="shared" si="73"/>
        <v>0</v>
      </c>
      <c r="P127" s="8">
        <f t="shared" si="74"/>
        <v>0</v>
      </c>
      <c r="Q127" s="8">
        <f t="shared" si="75"/>
        <v>0</v>
      </c>
      <c r="R127" s="8">
        <f t="shared" si="76"/>
        <v>1</v>
      </c>
      <c r="S127" s="8">
        <f t="shared" si="77"/>
        <v>0</v>
      </c>
      <c r="T127" s="8">
        <f t="shared" si="78"/>
        <v>0</v>
      </c>
      <c r="V127" s="8">
        <f t="shared" si="65"/>
        <v>4</v>
      </c>
      <c r="W127">
        <f t="shared" si="66"/>
        <v>1</v>
      </c>
      <c r="Y127" t="str">
        <f>INDEX($L$2:$T$2,MATCH(MAX(L127:T127),L127:T127,0))</f>
        <v>fear</v>
      </c>
    </row>
    <row r="128" spans="2:25" x14ac:dyDescent="0.25">
      <c r="B128" s="5">
        <v>126</v>
      </c>
      <c r="C128" t="s">
        <v>8</v>
      </c>
      <c r="D128" t="s">
        <v>3</v>
      </c>
      <c r="E128" t="s">
        <v>3</v>
      </c>
      <c r="F128" t="s">
        <v>3</v>
      </c>
      <c r="G128" t="s">
        <v>1</v>
      </c>
      <c r="J128" s="15">
        <v>1</v>
      </c>
      <c r="K128" s="5">
        <v>126</v>
      </c>
      <c r="L128" s="8">
        <f t="shared" si="70"/>
        <v>3</v>
      </c>
      <c r="M128" s="8">
        <f t="shared" si="71"/>
        <v>1</v>
      </c>
      <c r="N128" s="8">
        <f t="shared" si="72"/>
        <v>0</v>
      </c>
      <c r="O128" s="8">
        <f t="shared" si="73"/>
        <v>0</v>
      </c>
      <c r="P128" s="8">
        <f t="shared" si="74"/>
        <v>0</v>
      </c>
      <c r="Q128" s="8">
        <f t="shared" si="75"/>
        <v>0</v>
      </c>
      <c r="R128" s="8">
        <f t="shared" si="76"/>
        <v>0</v>
      </c>
      <c r="S128" s="8">
        <f t="shared" si="77"/>
        <v>1</v>
      </c>
      <c r="T128" s="8">
        <f t="shared" si="78"/>
        <v>0</v>
      </c>
      <c r="V128" s="8">
        <f t="shared" si="65"/>
        <v>3</v>
      </c>
      <c r="W128">
        <f t="shared" si="66"/>
        <v>1</v>
      </c>
      <c r="Y128" t="str">
        <f t="shared" ref="Y128:Y142" si="79">INDEX($L$2:$T$2,MATCH(MAX(L128:T128),L128:T128,0))</f>
        <v>joy</v>
      </c>
    </row>
    <row r="129" spans="2:25" x14ac:dyDescent="0.25">
      <c r="B129" s="5">
        <v>127</v>
      </c>
      <c r="C129" t="s">
        <v>8</v>
      </c>
      <c r="D129" t="s">
        <v>8</v>
      </c>
      <c r="E129" t="s">
        <v>2</v>
      </c>
      <c r="F129" t="s">
        <v>8</v>
      </c>
      <c r="G129" t="s">
        <v>6</v>
      </c>
      <c r="J129" s="15">
        <v>1</v>
      </c>
      <c r="K129" s="5">
        <v>127</v>
      </c>
      <c r="L129" s="8">
        <f t="shared" si="70"/>
        <v>0</v>
      </c>
      <c r="M129" s="8">
        <f t="shared" si="71"/>
        <v>0</v>
      </c>
      <c r="N129" s="8">
        <f t="shared" si="72"/>
        <v>1</v>
      </c>
      <c r="O129" s="8">
        <f t="shared" si="73"/>
        <v>0</v>
      </c>
      <c r="P129" s="8">
        <f t="shared" si="74"/>
        <v>0</v>
      </c>
      <c r="Q129" s="8">
        <f t="shared" si="75"/>
        <v>0</v>
      </c>
      <c r="R129" s="8">
        <f t="shared" si="76"/>
        <v>0</v>
      </c>
      <c r="S129" s="8">
        <f t="shared" si="77"/>
        <v>3</v>
      </c>
      <c r="T129" s="8">
        <f t="shared" si="78"/>
        <v>1</v>
      </c>
      <c r="V129" s="8">
        <f t="shared" si="65"/>
        <v>3</v>
      </c>
      <c r="W129">
        <f t="shared" si="66"/>
        <v>1</v>
      </c>
      <c r="Y129" t="str">
        <f t="shared" si="79"/>
        <v>anticipation</v>
      </c>
    </row>
    <row r="130" spans="2:25" x14ac:dyDescent="0.25">
      <c r="B130" s="5">
        <v>128</v>
      </c>
      <c r="C130" t="s">
        <v>8</v>
      </c>
      <c r="D130" t="s">
        <v>1</v>
      </c>
      <c r="E130" t="s">
        <v>1</v>
      </c>
      <c r="F130" t="s">
        <v>1</v>
      </c>
      <c r="G130" t="s">
        <v>1</v>
      </c>
      <c r="J130" s="15" t="s">
        <v>654</v>
      </c>
      <c r="K130" s="5">
        <v>128</v>
      </c>
      <c r="L130" s="8">
        <f t="shared" si="70"/>
        <v>0</v>
      </c>
      <c r="M130" s="8">
        <f t="shared" si="71"/>
        <v>4</v>
      </c>
      <c r="N130" s="8">
        <f t="shared" si="72"/>
        <v>0</v>
      </c>
      <c r="O130" s="8">
        <f t="shared" si="73"/>
        <v>0</v>
      </c>
      <c r="P130" s="8">
        <f t="shared" si="74"/>
        <v>0</v>
      </c>
      <c r="Q130" s="8">
        <f t="shared" si="75"/>
        <v>0</v>
      </c>
      <c r="R130" s="8">
        <f t="shared" si="76"/>
        <v>0</v>
      </c>
      <c r="S130" s="8">
        <f t="shared" si="77"/>
        <v>1</v>
      </c>
      <c r="T130" s="8">
        <f t="shared" si="78"/>
        <v>0</v>
      </c>
      <c r="V130" s="8">
        <f t="shared" si="65"/>
        <v>4</v>
      </c>
      <c r="W130">
        <f t="shared" si="66"/>
        <v>1</v>
      </c>
      <c r="Y130" t="str">
        <f t="shared" si="79"/>
        <v>trust</v>
      </c>
    </row>
    <row r="131" spans="2:25" x14ac:dyDescent="0.25">
      <c r="B131" s="5">
        <v>129</v>
      </c>
      <c r="C131" t="s">
        <v>6</v>
      </c>
      <c r="D131" t="s">
        <v>0</v>
      </c>
      <c r="E131" t="s">
        <v>0</v>
      </c>
      <c r="F131" t="s">
        <v>0</v>
      </c>
      <c r="G131" t="s">
        <v>2</v>
      </c>
      <c r="J131" s="15">
        <v>1</v>
      </c>
      <c r="K131" s="5">
        <v>129</v>
      </c>
      <c r="L131" s="8">
        <f t="shared" si="70"/>
        <v>0</v>
      </c>
      <c r="M131" s="8">
        <f t="shared" si="71"/>
        <v>0</v>
      </c>
      <c r="N131" s="8">
        <f t="shared" si="72"/>
        <v>1</v>
      </c>
      <c r="O131" s="8">
        <f t="shared" si="73"/>
        <v>0</v>
      </c>
      <c r="P131" s="8">
        <f t="shared" si="74"/>
        <v>0</v>
      </c>
      <c r="Q131" s="8">
        <f t="shared" si="75"/>
        <v>3</v>
      </c>
      <c r="R131" s="8">
        <f t="shared" si="76"/>
        <v>0</v>
      </c>
      <c r="S131" s="8">
        <f t="shared" si="77"/>
        <v>0</v>
      </c>
      <c r="T131" s="8">
        <f t="shared" si="78"/>
        <v>1</v>
      </c>
      <c r="V131" s="8">
        <f t="shared" si="65"/>
        <v>3</v>
      </c>
      <c r="W131">
        <f t="shared" si="66"/>
        <v>1</v>
      </c>
      <c r="Y131" t="str">
        <f t="shared" si="79"/>
        <v>disgust</v>
      </c>
    </row>
    <row r="132" spans="2:25" x14ac:dyDescent="0.25">
      <c r="B132" s="5">
        <v>130</v>
      </c>
      <c r="C132" t="s">
        <v>3</v>
      </c>
      <c r="D132" t="s">
        <v>5</v>
      </c>
      <c r="E132" t="s">
        <v>6</v>
      </c>
      <c r="F132" t="s">
        <v>5</v>
      </c>
      <c r="G132" t="s">
        <v>5</v>
      </c>
      <c r="J132" s="15">
        <v>1</v>
      </c>
      <c r="K132" s="5">
        <v>130</v>
      </c>
      <c r="L132" s="8">
        <f t="shared" si="70"/>
        <v>1</v>
      </c>
      <c r="M132" s="8">
        <f t="shared" si="71"/>
        <v>0</v>
      </c>
      <c r="N132" s="8">
        <f t="shared" si="72"/>
        <v>1</v>
      </c>
      <c r="O132" s="8">
        <f t="shared" si="73"/>
        <v>0</v>
      </c>
      <c r="P132" s="8">
        <f t="shared" si="74"/>
        <v>3</v>
      </c>
      <c r="Q132" s="8">
        <f t="shared" si="75"/>
        <v>0</v>
      </c>
      <c r="R132" s="8">
        <f t="shared" si="76"/>
        <v>0</v>
      </c>
      <c r="S132" s="8">
        <f t="shared" si="77"/>
        <v>0</v>
      </c>
      <c r="T132" s="8">
        <f t="shared" si="78"/>
        <v>0</v>
      </c>
      <c r="V132" s="8">
        <f t="shared" ref="V132:V195" si="80">MAX(L132:T132)</f>
        <v>3</v>
      </c>
      <c r="W132">
        <f t="shared" ref="W132:W195" si="81">COUNTIF(L132:T132, "=" &amp; V132)</f>
        <v>1</v>
      </c>
      <c r="Y132" t="str">
        <f t="shared" si="79"/>
        <v>sadness</v>
      </c>
    </row>
    <row r="133" spans="2:25" x14ac:dyDescent="0.25">
      <c r="B133" s="5">
        <v>131</v>
      </c>
      <c r="C133" t="s">
        <v>6</v>
      </c>
      <c r="D133" t="s">
        <v>4</v>
      </c>
      <c r="E133" t="s">
        <v>4</v>
      </c>
      <c r="F133" t="s">
        <v>4</v>
      </c>
      <c r="G133" t="s">
        <v>2</v>
      </c>
      <c r="J133" s="15">
        <v>1</v>
      </c>
      <c r="K133" s="5">
        <v>131</v>
      </c>
      <c r="L133" s="8">
        <f t="shared" si="70"/>
        <v>0</v>
      </c>
      <c r="M133" s="8">
        <f t="shared" si="71"/>
        <v>0</v>
      </c>
      <c r="N133" s="8">
        <f t="shared" si="72"/>
        <v>1</v>
      </c>
      <c r="O133" s="8">
        <f t="shared" si="73"/>
        <v>0</v>
      </c>
      <c r="P133" s="8">
        <f t="shared" si="74"/>
        <v>0</v>
      </c>
      <c r="Q133" s="8">
        <f t="shared" si="75"/>
        <v>0</v>
      </c>
      <c r="R133" s="8">
        <f t="shared" si="76"/>
        <v>3</v>
      </c>
      <c r="S133" s="8">
        <f t="shared" si="77"/>
        <v>0</v>
      </c>
      <c r="T133" s="8">
        <f t="shared" si="78"/>
        <v>1</v>
      </c>
      <c r="V133" s="8">
        <f t="shared" si="80"/>
        <v>3</v>
      </c>
      <c r="W133">
        <f t="shared" si="81"/>
        <v>1</v>
      </c>
      <c r="Y133" t="str">
        <f t="shared" si="79"/>
        <v>anger</v>
      </c>
    </row>
    <row r="134" spans="2:25" x14ac:dyDescent="0.25">
      <c r="B134" s="5">
        <v>132</v>
      </c>
      <c r="C134" t="s">
        <v>5</v>
      </c>
      <c r="D134" t="s">
        <v>5</v>
      </c>
      <c r="E134" t="s">
        <v>2</v>
      </c>
      <c r="F134" t="s">
        <v>5</v>
      </c>
      <c r="G134" t="s">
        <v>1</v>
      </c>
      <c r="J134" s="15">
        <v>1</v>
      </c>
      <c r="K134" s="5">
        <v>132</v>
      </c>
      <c r="L134" s="8">
        <f t="shared" si="70"/>
        <v>0</v>
      </c>
      <c r="M134" s="8">
        <f t="shared" si="71"/>
        <v>1</v>
      </c>
      <c r="N134" s="8">
        <f t="shared" si="72"/>
        <v>0</v>
      </c>
      <c r="O134" s="8">
        <f t="shared" si="73"/>
        <v>0</v>
      </c>
      <c r="P134" s="8">
        <f t="shared" si="74"/>
        <v>3</v>
      </c>
      <c r="Q134" s="8">
        <f t="shared" si="75"/>
        <v>0</v>
      </c>
      <c r="R134" s="8">
        <f t="shared" si="76"/>
        <v>0</v>
      </c>
      <c r="S134" s="8">
        <f t="shared" si="77"/>
        <v>0</v>
      </c>
      <c r="T134" s="8">
        <f t="shared" si="78"/>
        <v>1</v>
      </c>
      <c r="V134" s="8">
        <f t="shared" si="80"/>
        <v>3</v>
      </c>
      <c r="W134">
        <f t="shared" si="81"/>
        <v>1</v>
      </c>
      <c r="Y134" t="str">
        <f t="shared" si="79"/>
        <v>sadness</v>
      </c>
    </row>
    <row r="135" spans="2:25" x14ac:dyDescent="0.25">
      <c r="B135" s="5">
        <v>133</v>
      </c>
      <c r="C135" t="s">
        <v>3</v>
      </c>
      <c r="D135" t="s">
        <v>3</v>
      </c>
      <c r="E135" t="s">
        <v>3</v>
      </c>
      <c r="F135" t="s">
        <v>3</v>
      </c>
      <c r="G135" t="s">
        <v>1</v>
      </c>
      <c r="J135" s="15" t="s">
        <v>654</v>
      </c>
      <c r="K135" s="5">
        <v>133</v>
      </c>
      <c r="L135" s="8">
        <f t="shared" si="70"/>
        <v>4</v>
      </c>
      <c r="M135" s="8">
        <f t="shared" si="71"/>
        <v>1</v>
      </c>
      <c r="N135" s="8">
        <f t="shared" si="72"/>
        <v>0</v>
      </c>
      <c r="O135" s="8">
        <f t="shared" si="73"/>
        <v>0</v>
      </c>
      <c r="P135" s="8">
        <f t="shared" si="74"/>
        <v>0</v>
      </c>
      <c r="Q135" s="8">
        <f t="shared" si="75"/>
        <v>0</v>
      </c>
      <c r="R135" s="8">
        <f t="shared" si="76"/>
        <v>0</v>
      </c>
      <c r="S135" s="8">
        <f t="shared" si="77"/>
        <v>0</v>
      </c>
      <c r="T135" s="8">
        <f t="shared" si="78"/>
        <v>0</v>
      </c>
      <c r="V135" s="8">
        <f t="shared" si="80"/>
        <v>4</v>
      </c>
      <c r="W135">
        <f t="shared" si="81"/>
        <v>1</v>
      </c>
      <c r="Y135" t="str">
        <f t="shared" si="79"/>
        <v>joy</v>
      </c>
    </row>
    <row r="136" spans="2:25" x14ac:dyDescent="0.25">
      <c r="B136" s="5">
        <v>134</v>
      </c>
      <c r="C136" t="s">
        <v>3</v>
      </c>
      <c r="D136" t="s">
        <v>3</v>
      </c>
      <c r="E136" t="s">
        <v>2</v>
      </c>
      <c r="F136" t="s">
        <v>3</v>
      </c>
      <c r="G136" t="s">
        <v>3</v>
      </c>
      <c r="J136" s="15" t="s">
        <v>654</v>
      </c>
      <c r="K136" s="5">
        <v>134</v>
      </c>
      <c r="L136" s="8">
        <f t="shared" si="70"/>
        <v>4</v>
      </c>
      <c r="M136" s="8">
        <f t="shared" si="71"/>
        <v>0</v>
      </c>
      <c r="N136" s="8">
        <f t="shared" si="72"/>
        <v>0</v>
      </c>
      <c r="O136" s="8">
        <f t="shared" si="73"/>
        <v>0</v>
      </c>
      <c r="P136" s="8">
        <f t="shared" si="74"/>
        <v>0</v>
      </c>
      <c r="Q136" s="8">
        <f t="shared" si="75"/>
        <v>0</v>
      </c>
      <c r="R136" s="8">
        <f t="shared" si="76"/>
        <v>0</v>
      </c>
      <c r="S136" s="8">
        <f t="shared" si="77"/>
        <v>0</v>
      </c>
      <c r="T136" s="8">
        <f t="shared" si="78"/>
        <v>1</v>
      </c>
      <c r="V136" s="8">
        <f t="shared" si="80"/>
        <v>4</v>
      </c>
      <c r="W136">
        <f t="shared" si="81"/>
        <v>1</v>
      </c>
      <c r="Y136" t="str">
        <f t="shared" si="79"/>
        <v>joy</v>
      </c>
    </row>
    <row r="137" spans="2:25" x14ac:dyDescent="0.25">
      <c r="B137" s="5">
        <v>135</v>
      </c>
      <c r="C137" t="s">
        <v>5</v>
      </c>
      <c r="D137" t="s">
        <v>8</v>
      </c>
      <c r="E137" t="s">
        <v>1</v>
      </c>
      <c r="F137" t="s">
        <v>8</v>
      </c>
      <c r="G137" t="s">
        <v>8</v>
      </c>
      <c r="J137" s="15">
        <v>1</v>
      </c>
      <c r="K137" s="5">
        <v>135</v>
      </c>
      <c r="L137" s="8">
        <f t="shared" si="70"/>
        <v>0</v>
      </c>
      <c r="M137" s="8">
        <f t="shared" si="71"/>
        <v>1</v>
      </c>
      <c r="N137" s="8">
        <f t="shared" si="72"/>
        <v>0</v>
      </c>
      <c r="O137" s="8">
        <f t="shared" si="73"/>
        <v>0</v>
      </c>
      <c r="P137" s="8">
        <f t="shared" si="74"/>
        <v>1</v>
      </c>
      <c r="Q137" s="8">
        <f t="shared" si="75"/>
        <v>0</v>
      </c>
      <c r="R137" s="8">
        <f t="shared" si="76"/>
        <v>0</v>
      </c>
      <c r="S137" s="8">
        <f t="shared" si="77"/>
        <v>3</v>
      </c>
      <c r="T137" s="8">
        <f t="shared" si="78"/>
        <v>0</v>
      </c>
      <c r="V137" s="8">
        <f t="shared" si="80"/>
        <v>3</v>
      </c>
      <c r="W137">
        <f t="shared" si="81"/>
        <v>1</v>
      </c>
      <c r="Y137" t="str">
        <f t="shared" si="79"/>
        <v>anticipation</v>
      </c>
    </row>
    <row r="138" spans="2:25" x14ac:dyDescent="0.25">
      <c r="B138" s="5">
        <v>136</v>
      </c>
      <c r="C138" t="s">
        <v>3</v>
      </c>
      <c r="D138" t="s">
        <v>1</v>
      </c>
      <c r="E138" t="s">
        <v>1</v>
      </c>
      <c r="F138" t="s">
        <v>1</v>
      </c>
      <c r="G138" t="s">
        <v>8</v>
      </c>
      <c r="J138" s="15">
        <v>1</v>
      </c>
      <c r="K138" s="5">
        <v>136</v>
      </c>
      <c r="L138" s="8">
        <f t="shared" si="70"/>
        <v>1</v>
      </c>
      <c r="M138" s="8">
        <f t="shared" si="71"/>
        <v>3</v>
      </c>
      <c r="N138" s="8">
        <f t="shared" si="72"/>
        <v>0</v>
      </c>
      <c r="O138" s="8">
        <f t="shared" si="73"/>
        <v>0</v>
      </c>
      <c r="P138" s="8">
        <f t="shared" si="74"/>
        <v>0</v>
      </c>
      <c r="Q138" s="8">
        <f t="shared" si="75"/>
        <v>0</v>
      </c>
      <c r="R138" s="8">
        <f t="shared" si="76"/>
        <v>0</v>
      </c>
      <c r="S138" s="8">
        <f t="shared" si="77"/>
        <v>1</v>
      </c>
      <c r="T138" s="8">
        <f t="shared" si="78"/>
        <v>0</v>
      </c>
      <c r="V138" s="8">
        <f t="shared" si="80"/>
        <v>3</v>
      </c>
      <c r="W138">
        <f t="shared" si="81"/>
        <v>1</v>
      </c>
      <c r="Y138" t="str">
        <f t="shared" si="79"/>
        <v>trust</v>
      </c>
    </row>
    <row r="139" spans="2:25" x14ac:dyDescent="0.25">
      <c r="B139" s="5">
        <v>137</v>
      </c>
      <c r="C139" t="s">
        <v>8</v>
      </c>
      <c r="D139" t="s">
        <v>8</v>
      </c>
      <c r="E139" t="s">
        <v>5</v>
      </c>
      <c r="F139" t="s">
        <v>8</v>
      </c>
      <c r="G139" t="s">
        <v>1</v>
      </c>
      <c r="J139" s="15">
        <v>1</v>
      </c>
      <c r="K139" s="5">
        <v>137</v>
      </c>
      <c r="L139" s="8">
        <f t="shared" si="70"/>
        <v>0</v>
      </c>
      <c r="M139" s="8">
        <f t="shared" si="71"/>
        <v>1</v>
      </c>
      <c r="N139" s="8">
        <f t="shared" si="72"/>
        <v>0</v>
      </c>
      <c r="O139" s="8">
        <f t="shared" si="73"/>
        <v>0</v>
      </c>
      <c r="P139" s="8">
        <f t="shared" si="74"/>
        <v>1</v>
      </c>
      <c r="Q139" s="8">
        <f t="shared" si="75"/>
        <v>0</v>
      </c>
      <c r="R139" s="8">
        <f t="shared" si="76"/>
        <v>0</v>
      </c>
      <c r="S139" s="8">
        <f t="shared" si="77"/>
        <v>3</v>
      </c>
      <c r="T139" s="8">
        <f t="shared" si="78"/>
        <v>0</v>
      </c>
      <c r="V139" s="8">
        <f t="shared" si="80"/>
        <v>3</v>
      </c>
      <c r="W139">
        <f t="shared" si="81"/>
        <v>1</v>
      </c>
      <c r="Y139" t="str">
        <f t="shared" si="79"/>
        <v>anticipation</v>
      </c>
    </row>
    <row r="140" spans="2:25" x14ac:dyDescent="0.25">
      <c r="B140" s="5">
        <v>138</v>
      </c>
      <c r="C140" t="s">
        <v>5</v>
      </c>
      <c r="D140" t="s">
        <v>1</v>
      </c>
      <c r="E140" t="s">
        <v>3</v>
      </c>
      <c r="F140" t="s">
        <v>1</v>
      </c>
      <c r="G140" t="s">
        <v>1</v>
      </c>
      <c r="J140" s="15">
        <v>1</v>
      </c>
      <c r="K140" s="5">
        <v>138</v>
      </c>
      <c r="L140" s="8">
        <f t="shared" si="70"/>
        <v>1</v>
      </c>
      <c r="M140" s="8">
        <f t="shared" si="71"/>
        <v>3</v>
      </c>
      <c r="N140" s="8">
        <f t="shared" si="72"/>
        <v>0</v>
      </c>
      <c r="O140" s="8">
        <f t="shared" si="73"/>
        <v>0</v>
      </c>
      <c r="P140" s="8">
        <f t="shared" si="74"/>
        <v>1</v>
      </c>
      <c r="Q140" s="8">
        <f t="shared" si="75"/>
        <v>0</v>
      </c>
      <c r="R140" s="8">
        <f t="shared" si="76"/>
        <v>0</v>
      </c>
      <c r="S140" s="8">
        <f t="shared" si="77"/>
        <v>0</v>
      </c>
      <c r="T140" s="8">
        <f t="shared" si="78"/>
        <v>0</v>
      </c>
      <c r="V140" s="8">
        <f t="shared" si="80"/>
        <v>3</v>
      </c>
      <c r="W140">
        <f t="shared" si="81"/>
        <v>1</v>
      </c>
      <c r="Y140" t="str">
        <f t="shared" si="79"/>
        <v>trust</v>
      </c>
    </row>
    <row r="141" spans="2:25" x14ac:dyDescent="0.25">
      <c r="B141" s="5">
        <v>139</v>
      </c>
      <c r="C141" t="s">
        <v>1</v>
      </c>
      <c r="D141" t="s">
        <v>6</v>
      </c>
      <c r="E141" t="s">
        <v>3</v>
      </c>
      <c r="F141" t="s">
        <v>6</v>
      </c>
      <c r="G141" t="s">
        <v>6</v>
      </c>
      <c r="J141" s="15">
        <v>1</v>
      </c>
      <c r="K141" s="5">
        <v>139</v>
      </c>
      <c r="L141" s="8">
        <f t="shared" si="70"/>
        <v>1</v>
      </c>
      <c r="M141" s="8">
        <f t="shared" si="71"/>
        <v>1</v>
      </c>
      <c r="N141" s="8">
        <f t="shared" si="72"/>
        <v>3</v>
      </c>
      <c r="O141" s="8">
        <f t="shared" si="73"/>
        <v>0</v>
      </c>
      <c r="P141" s="8">
        <f t="shared" si="74"/>
        <v>0</v>
      </c>
      <c r="Q141" s="8">
        <f t="shared" si="75"/>
        <v>0</v>
      </c>
      <c r="R141" s="8">
        <f t="shared" si="76"/>
        <v>0</v>
      </c>
      <c r="S141" s="8">
        <f t="shared" si="77"/>
        <v>0</v>
      </c>
      <c r="T141" s="8">
        <f t="shared" si="78"/>
        <v>0</v>
      </c>
      <c r="V141" s="8">
        <f t="shared" si="80"/>
        <v>3</v>
      </c>
      <c r="W141">
        <f t="shared" si="81"/>
        <v>1</v>
      </c>
      <c r="Y141" t="str">
        <f t="shared" si="79"/>
        <v>fear</v>
      </c>
    </row>
    <row r="142" spans="2:25" x14ac:dyDescent="0.25">
      <c r="B142" s="5">
        <v>140</v>
      </c>
      <c r="C142" t="s">
        <v>3</v>
      </c>
      <c r="D142" t="s">
        <v>3</v>
      </c>
      <c r="E142" t="s">
        <v>6</v>
      </c>
      <c r="F142" t="s">
        <v>3</v>
      </c>
      <c r="G142" t="s">
        <v>3</v>
      </c>
      <c r="J142" s="15" t="s">
        <v>654</v>
      </c>
      <c r="K142" s="5">
        <v>140</v>
      </c>
      <c r="L142" s="8">
        <f t="shared" si="70"/>
        <v>4</v>
      </c>
      <c r="M142" s="8">
        <f t="shared" si="71"/>
        <v>0</v>
      </c>
      <c r="N142" s="8">
        <f t="shared" si="72"/>
        <v>1</v>
      </c>
      <c r="O142" s="8">
        <f t="shared" si="73"/>
        <v>0</v>
      </c>
      <c r="P142" s="8">
        <f t="shared" si="74"/>
        <v>0</v>
      </c>
      <c r="Q142" s="8">
        <f t="shared" si="75"/>
        <v>0</v>
      </c>
      <c r="R142" s="8">
        <f t="shared" si="76"/>
        <v>0</v>
      </c>
      <c r="S142" s="8">
        <f t="shared" si="77"/>
        <v>0</v>
      </c>
      <c r="T142" s="8">
        <f t="shared" si="78"/>
        <v>0</v>
      </c>
      <c r="V142" s="8">
        <f t="shared" si="80"/>
        <v>4</v>
      </c>
      <c r="W142">
        <f t="shared" si="81"/>
        <v>1</v>
      </c>
      <c r="Y142" t="str">
        <f t="shared" si="79"/>
        <v>joy</v>
      </c>
    </row>
    <row r="143" spans="2:25" x14ac:dyDescent="0.25">
      <c r="B143" s="5">
        <v>141</v>
      </c>
      <c r="C143" t="s">
        <v>3</v>
      </c>
      <c r="D143" t="s">
        <v>5</v>
      </c>
      <c r="E143" t="s">
        <v>5</v>
      </c>
      <c r="F143" t="s">
        <v>5</v>
      </c>
      <c r="G143" t="s">
        <v>1</v>
      </c>
      <c r="J143" s="15">
        <v>1</v>
      </c>
      <c r="K143" s="5">
        <v>141</v>
      </c>
      <c r="L143" s="8">
        <f t="shared" si="70"/>
        <v>1</v>
      </c>
      <c r="M143" s="8">
        <f t="shared" si="71"/>
        <v>1</v>
      </c>
      <c r="N143" s="8">
        <f t="shared" si="72"/>
        <v>0</v>
      </c>
      <c r="O143" s="8">
        <f t="shared" si="73"/>
        <v>0</v>
      </c>
      <c r="P143" s="8">
        <f t="shared" si="74"/>
        <v>3</v>
      </c>
      <c r="Q143" s="8">
        <f t="shared" si="75"/>
        <v>0</v>
      </c>
      <c r="R143" s="8">
        <f t="shared" si="76"/>
        <v>0</v>
      </c>
      <c r="S143" s="8">
        <f t="shared" si="77"/>
        <v>0</v>
      </c>
      <c r="T143" s="8">
        <f t="shared" si="78"/>
        <v>0</v>
      </c>
      <c r="V143" s="8">
        <f t="shared" si="80"/>
        <v>3</v>
      </c>
      <c r="W143">
        <f t="shared" si="81"/>
        <v>1</v>
      </c>
      <c r="Y143" t="str">
        <f>INDEX($L$2:$T$2,MATCH(MAX(L143:T143),L143:T143,0))</f>
        <v>sadness</v>
      </c>
    </row>
    <row r="144" spans="2:25" x14ac:dyDescent="0.25">
      <c r="B144" s="5">
        <v>142</v>
      </c>
      <c r="C144" t="s">
        <v>3</v>
      </c>
      <c r="D144" t="s">
        <v>3</v>
      </c>
      <c r="E144" t="s">
        <v>2</v>
      </c>
      <c r="F144" t="s">
        <v>3</v>
      </c>
      <c r="G144" t="s">
        <v>3</v>
      </c>
      <c r="J144" s="15" t="s">
        <v>654</v>
      </c>
      <c r="K144" s="5">
        <v>142</v>
      </c>
      <c r="L144" s="8">
        <f t="shared" si="70"/>
        <v>4</v>
      </c>
      <c r="M144" s="8">
        <f t="shared" si="71"/>
        <v>0</v>
      </c>
      <c r="N144" s="8">
        <f t="shared" si="72"/>
        <v>0</v>
      </c>
      <c r="O144" s="8">
        <f t="shared" si="73"/>
        <v>0</v>
      </c>
      <c r="P144" s="8">
        <f t="shared" si="74"/>
        <v>0</v>
      </c>
      <c r="Q144" s="8">
        <f t="shared" si="75"/>
        <v>0</v>
      </c>
      <c r="R144" s="8">
        <f t="shared" si="76"/>
        <v>0</v>
      </c>
      <c r="S144" s="8">
        <f t="shared" si="77"/>
        <v>0</v>
      </c>
      <c r="T144" s="8">
        <f t="shared" si="78"/>
        <v>1</v>
      </c>
      <c r="V144" s="8">
        <f t="shared" si="80"/>
        <v>4</v>
      </c>
      <c r="W144">
        <f t="shared" si="81"/>
        <v>1</v>
      </c>
      <c r="Y144" t="str">
        <f t="shared" ref="Y144:Y163" si="82">INDEX($L$2:$T$2,MATCH(MAX(L144:T144),L144:T144,0))</f>
        <v>joy</v>
      </c>
    </row>
    <row r="145" spans="2:25" x14ac:dyDescent="0.25">
      <c r="B145" s="5">
        <v>143</v>
      </c>
      <c r="C145" t="s">
        <v>8</v>
      </c>
      <c r="D145" t="s">
        <v>8</v>
      </c>
      <c r="E145" t="s">
        <v>2</v>
      </c>
      <c r="F145" t="s">
        <v>8</v>
      </c>
      <c r="G145" t="s">
        <v>3</v>
      </c>
      <c r="J145" s="15">
        <v>1</v>
      </c>
      <c r="K145" s="5">
        <v>143</v>
      </c>
      <c r="L145" s="8">
        <f t="shared" si="70"/>
        <v>1</v>
      </c>
      <c r="M145" s="8">
        <f t="shared" si="71"/>
        <v>0</v>
      </c>
      <c r="N145" s="8">
        <f t="shared" si="72"/>
        <v>0</v>
      </c>
      <c r="O145" s="8">
        <f t="shared" si="73"/>
        <v>0</v>
      </c>
      <c r="P145" s="8">
        <f t="shared" si="74"/>
        <v>0</v>
      </c>
      <c r="Q145" s="8">
        <f t="shared" si="75"/>
        <v>0</v>
      </c>
      <c r="R145" s="8">
        <f t="shared" si="76"/>
        <v>0</v>
      </c>
      <c r="S145" s="8">
        <f t="shared" si="77"/>
        <v>3</v>
      </c>
      <c r="T145" s="8">
        <f t="shared" si="78"/>
        <v>1</v>
      </c>
      <c r="V145" s="8">
        <f t="shared" si="80"/>
        <v>3</v>
      </c>
      <c r="W145">
        <f t="shared" si="81"/>
        <v>1</v>
      </c>
      <c r="Y145" t="str">
        <f t="shared" si="82"/>
        <v>anticipation</v>
      </c>
    </row>
    <row r="146" spans="2:25" x14ac:dyDescent="0.25">
      <c r="B146" s="5">
        <v>144</v>
      </c>
      <c r="C146" t="s">
        <v>3</v>
      </c>
      <c r="D146" t="s">
        <v>5</v>
      </c>
      <c r="E146" t="s">
        <v>6</v>
      </c>
      <c r="F146" t="s">
        <v>5</v>
      </c>
      <c r="G146" t="s">
        <v>5</v>
      </c>
      <c r="J146" s="15">
        <v>1</v>
      </c>
      <c r="K146" s="5">
        <v>144</v>
      </c>
      <c r="L146" s="8">
        <f t="shared" si="70"/>
        <v>1</v>
      </c>
      <c r="M146" s="8">
        <f t="shared" si="71"/>
        <v>0</v>
      </c>
      <c r="N146" s="8">
        <f t="shared" si="72"/>
        <v>1</v>
      </c>
      <c r="O146" s="8">
        <f t="shared" si="73"/>
        <v>0</v>
      </c>
      <c r="P146" s="8">
        <f t="shared" si="74"/>
        <v>3</v>
      </c>
      <c r="Q146" s="8">
        <f t="shared" si="75"/>
        <v>0</v>
      </c>
      <c r="R146" s="8">
        <f t="shared" si="76"/>
        <v>0</v>
      </c>
      <c r="S146" s="8">
        <f t="shared" si="77"/>
        <v>0</v>
      </c>
      <c r="T146" s="8">
        <f t="shared" si="78"/>
        <v>0</v>
      </c>
      <c r="V146" s="8">
        <f t="shared" si="80"/>
        <v>3</v>
      </c>
      <c r="W146">
        <f t="shared" si="81"/>
        <v>1</v>
      </c>
      <c r="Y146" t="str">
        <f t="shared" si="82"/>
        <v>sadness</v>
      </c>
    </row>
    <row r="147" spans="2:25" x14ac:dyDescent="0.25">
      <c r="B147" s="5">
        <v>145</v>
      </c>
      <c r="C147" t="s">
        <v>3</v>
      </c>
      <c r="D147" t="s">
        <v>3</v>
      </c>
      <c r="E147" t="s">
        <v>3</v>
      </c>
      <c r="F147" t="s">
        <v>3</v>
      </c>
      <c r="G147" t="s">
        <v>1</v>
      </c>
      <c r="J147" s="15" t="s">
        <v>654</v>
      </c>
      <c r="K147" s="5">
        <v>145</v>
      </c>
      <c r="L147" s="8">
        <f t="shared" si="70"/>
        <v>4</v>
      </c>
      <c r="M147" s="8">
        <f t="shared" si="71"/>
        <v>1</v>
      </c>
      <c r="N147" s="8">
        <f t="shared" si="72"/>
        <v>0</v>
      </c>
      <c r="O147" s="8">
        <f t="shared" si="73"/>
        <v>0</v>
      </c>
      <c r="P147" s="8">
        <f t="shared" si="74"/>
        <v>0</v>
      </c>
      <c r="Q147" s="8">
        <f t="shared" si="75"/>
        <v>0</v>
      </c>
      <c r="R147" s="8">
        <f t="shared" si="76"/>
        <v>0</v>
      </c>
      <c r="S147" s="8">
        <f t="shared" si="77"/>
        <v>0</v>
      </c>
      <c r="T147" s="8">
        <f t="shared" si="78"/>
        <v>0</v>
      </c>
      <c r="V147" s="8">
        <f t="shared" si="80"/>
        <v>4</v>
      </c>
      <c r="W147">
        <f t="shared" si="81"/>
        <v>1</v>
      </c>
      <c r="Y147" t="str">
        <f t="shared" si="82"/>
        <v>joy</v>
      </c>
    </row>
    <row r="148" spans="2:25" x14ac:dyDescent="0.25">
      <c r="B148" s="5">
        <v>146</v>
      </c>
      <c r="C148" t="s">
        <v>3</v>
      </c>
      <c r="D148" t="s">
        <v>3</v>
      </c>
      <c r="E148" t="s">
        <v>3</v>
      </c>
      <c r="F148" t="s">
        <v>3</v>
      </c>
      <c r="G148" t="s">
        <v>3</v>
      </c>
      <c r="J148" s="15" t="s">
        <v>654</v>
      </c>
      <c r="K148" s="5">
        <v>146</v>
      </c>
      <c r="L148" s="8">
        <f t="shared" si="70"/>
        <v>5</v>
      </c>
      <c r="M148" s="8">
        <f t="shared" si="71"/>
        <v>0</v>
      </c>
      <c r="N148" s="8">
        <f t="shared" si="72"/>
        <v>0</v>
      </c>
      <c r="O148" s="8">
        <f t="shared" si="73"/>
        <v>0</v>
      </c>
      <c r="P148" s="8">
        <f t="shared" si="74"/>
        <v>0</v>
      </c>
      <c r="Q148" s="8">
        <f t="shared" si="75"/>
        <v>0</v>
      </c>
      <c r="R148" s="8">
        <f t="shared" si="76"/>
        <v>0</v>
      </c>
      <c r="S148" s="8">
        <f t="shared" si="77"/>
        <v>0</v>
      </c>
      <c r="T148" s="8">
        <f t="shared" si="78"/>
        <v>0</v>
      </c>
      <c r="V148" s="8">
        <f t="shared" si="80"/>
        <v>5</v>
      </c>
      <c r="W148">
        <f t="shared" si="81"/>
        <v>1</v>
      </c>
      <c r="Y148" t="str">
        <f t="shared" si="82"/>
        <v>joy</v>
      </c>
    </row>
    <row r="149" spans="2:25" x14ac:dyDescent="0.25">
      <c r="B149" s="5">
        <v>147</v>
      </c>
      <c r="C149" t="s">
        <v>3</v>
      </c>
      <c r="D149" t="s">
        <v>3</v>
      </c>
      <c r="E149" t="s">
        <v>3</v>
      </c>
      <c r="F149" t="s">
        <v>3</v>
      </c>
      <c r="G149" t="s">
        <v>3</v>
      </c>
      <c r="J149" s="15" t="s">
        <v>654</v>
      </c>
      <c r="K149" s="5">
        <v>147</v>
      </c>
      <c r="L149" s="8">
        <f t="shared" si="70"/>
        <v>5</v>
      </c>
      <c r="M149" s="8">
        <f t="shared" si="71"/>
        <v>0</v>
      </c>
      <c r="N149" s="8">
        <f t="shared" si="72"/>
        <v>0</v>
      </c>
      <c r="O149" s="8">
        <f t="shared" si="73"/>
        <v>0</v>
      </c>
      <c r="P149" s="8">
        <f t="shared" si="74"/>
        <v>0</v>
      </c>
      <c r="Q149" s="8">
        <f t="shared" si="75"/>
        <v>0</v>
      </c>
      <c r="R149" s="8">
        <f t="shared" si="76"/>
        <v>0</v>
      </c>
      <c r="S149" s="8">
        <f t="shared" si="77"/>
        <v>0</v>
      </c>
      <c r="T149" s="8">
        <f t="shared" si="78"/>
        <v>0</v>
      </c>
      <c r="V149" s="8">
        <f t="shared" si="80"/>
        <v>5</v>
      </c>
      <c r="W149">
        <f t="shared" si="81"/>
        <v>1</v>
      </c>
      <c r="Y149" t="str">
        <f t="shared" si="82"/>
        <v>joy</v>
      </c>
    </row>
    <row r="150" spans="2:25" x14ac:dyDescent="0.25">
      <c r="B150" s="5">
        <v>148</v>
      </c>
      <c r="C150" t="s">
        <v>3</v>
      </c>
      <c r="D150" t="s">
        <v>3</v>
      </c>
      <c r="E150" t="s">
        <v>3</v>
      </c>
      <c r="F150" t="s">
        <v>3</v>
      </c>
      <c r="G150" t="s">
        <v>1</v>
      </c>
      <c r="J150" s="15" t="s">
        <v>654</v>
      </c>
      <c r="K150" s="5">
        <v>148</v>
      </c>
      <c r="L150" s="8">
        <f t="shared" si="70"/>
        <v>4</v>
      </c>
      <c r="M150" s="8">
        <f t="shared" si="71"/>
        <v>1</v>
      </c>
      <c r="N150" s="8">
        <f t="shared" si="72"/>
        <v>0</v>
      </c>
      <c r="O150" s="8">
        <f t="shared" si="73"/>
        <v>0</v>
      </c>
      <c r="P150" s="8">
        <f t="shared" si="74"/>
        <v>0</v>
      </c>
      <c r="Q150" s="8">
        <f t="shared" si="75"/>
        <v>0</v>
      </c>
      <c r="R150" s="8">
        <f t="shared" si="76"/>
        <v>0</v>
      </c>
      <c r="S150" s="8">
        <f t="shared" si="77"/>
        <v>0</v>
      </c>
      <c r="T150" s="8">
        <f t="shared" si="78"/>
        <v>0</v>
      </c>
      <c r="V150" s="8">
        <f t="shared" si="80"/>
        <v>4</v>
      </c>
      <c r="W150">
        <f t="shared" si="81"/>
        <v>1</v>
      </c>
      <c r="Y150" t="str">
        <f t="shared" si="82"/>
        <v>joy</v>
      </c>
    </row>
    <row r="151" spans="2:25" x14ac:dyDescent="0.25">
      <c r="B151" s="5">
        <v>149</v>
      </c>
      <c r="C151" t="s">
        <v>3</v>
      </c>
      <c r="D151" t="s">
        <v>3</v>
      </c>
      <c r="E151" t="s">
        <v>3</v>
      </c>
      <c r="F151" t="s">
        <v>3</v>
      </c>
      <c r="G151" t="s">
        <v>1</v>
      </c>
      <c r="J151" s="15" t="s">
        <v>654</v>
      </c>
      <c r="K151" s="5">
        <v>149</v>
      </c>
      <c r="L151" s="8">
        <f t="shared" si="70"/>
        <v>4</v>
      </c>
      <c r="M151" s="8">
        <f t="shared" si="71"/>
        <v>1</v>
      </c>
      <c r="N151" s="8">
        <f t="shared" si="72"/>
        <v>0</v>
      </c>
      <c r="O151" s="8">
        <f t="shared" si="73"/>
        <v>0</v>
      </c>
      <c r="P151" s="8">
        <f t="shared" si="74"/>
        <v>0</v>
      </c>
      <c r="Q151" s="8">
        <f t="shared" si="75"/>
        <v>0</v>
      </c>
      <c r="R151" s="8">
        <f t="shared" si="76"/>
        <v>0</v>
      </c>
      <c r="S151" s="8">
        <f t="shared" si="77"/>
        <v>0</v>
      </c>
      <c r="T151" s="8">
        <f t="shared" si="78"/>
        <v>0</v>
      </c>
      <c r="V151" s="8">
        <f t="shared" si="80"/>
        <v>4</v>
      </c>
      <c r="W151">
        <f t="shared" si="81"/>
        <v>1</v>
      </c>
      <c r="Y151" t="str">
        <f t="shared" si="82"/>
        <v>joy</v>
      </c>
    </row>
    <row r="152" spans="2:25" x14ac:dyDescent="0.25">
      <c r="B152" s="5">
        <v>150</v>
      </c>
      <c r="C152" t="s">
        <v>8</v>
      </c>
      <c r="D152" t="s">
        <v>3</v>
      </c>
      <c r="E152" t="s">
        <v>3</v>
      </c>
      <c r="F152" t="s">
        <v>3</v>
      </c>
      <c r="G152" t="s">
        <v>1</v>
      </c>
      <c r="J152" s="15">
        <v>1</v>
      </c>
      <c r="K152" s="5">
        <v>150</v>
      </c>
      <c r="L152" s="8">
        <f t="shared" si="70"/>
        <v>3</v>
      </c>
      <c r="M152" s="8">
        <f t="shared" si="71"/>
        <v>1</v>
      </c>
      <c r="N152" s="8">
        <f t="shared" si="72"/>
        <v>0</v>
      </c>
      <c r="O152" s="8">
        <f t="shared" si="73"/>
        <v>0</v>
      </c>
      <c r="P152" s="8">
        <f t="shared" si="74"/>
        <v>0</v>
      </c>
      <c r="Q152" s="8">
        <f t="shared" si="75"/>
        <v>0</v>
      </c>
      <c r="R152" s="8">
        <f t="shared" si="76"/>
        <v>0</v>
      </c>
      <c r="S152" s="8">
        <f t="shared" si="77"/>
        <v>1</v>
      </c>
      <c r="T152" s="8">
        <f t="shared" si="78"/>
        <v>0</v>
      </c>
      <c r="V152" s="8">
        <f t="shared" si="80"/>
        <v>3</v>
      </c>
      <c r="W152">
        <f t="shared" si="81"/>
        <v>1</v>
      </c>
      <c r="Y152" t="str">
        <f t="shared" si="82"/>
        <v>joy</v>
      </c>
    </row>
    <row r="153" spans="2:25" x14ac:dyDescent="0.25">
      <c r="B153" s="5">
        <v>151</v>
      </c>
      <c r="C153" t="s">
        <v>3</v>
      </c>
      <c r="D153" t="s">
        <v>3</v>
      </c>
      <c r="E153" t="s">
        <v>3</v>
      </c>
      <c r="F153" t="s">
        <v>3</v>
      </c>
      <c r="G153" t="s">
        <v>7</v>
      </c>
      <c r="J153" s="15" t="s">
        <v>654</v>
      </c>
      <c r="K153" s="5">
        <v>151</v>
      </c>
      <c r="L153" s="8">
        <f t="shared" si="70"/>
        <v>4</v>
      </c>
      <c r="M153" s="8">
        <f t="shared" si="71"/>
        <v>0</v>
      </c>
      <c r="N153" s="8">
        <f t="shared" si="72"/>
        <v>0</v>
      </c>
      <c r="O153" s="8">
        <f t="shared" si="73"/>
        <v>1</v>
      </c>
      <c r="P153" s="8">
        <f t="shared" si="74"/>
        <v>0</v>
      </c>
      <c r="Q153" s="8">
        <f t="shared" si="75"/>
        <v>0</v>
      </c>
      <c r="R153" s="8">
        <f t="shared" si="76"/>
        <v>0</v>
      </c>
      <c r="S153" s="8">
        <f t="shared" si="77"/>
        <v>0</v>
      </c>
      <c r="T153" s="8">
        <f t="shared" si="78"/>
        <v>0</v>
      </c>
      <c r="V153" s="8">
        <f t="shared" si="80"/>
        <v>4</v>
      </c>
      <c r="W153">
        <f t="shared" si="81"/>
        <v>1</v>
      </c>
      <c r="Y153" t="str">
        <f t="shared" si="82"/>
        <v>joy</v>
      </c>
    </row>
    <row r="154" spans="2:25" x14ac:dyDescent="0.25">
      <c r="B154" s="5">
        <v>152</v>
      </c>
      <c r="C154" t="s">
        <v>8</v>
      </c>
      <c r="D154" t="s">
        <v>7</v>
      </c>
      <c r="E154" t="s">
        <v>3</v>
      </c>
      <c r="F154" t="s">
        <v>7</v>
      </c>
      <c r="G154" t="s">
        <v>7</v>
      </c>
      <c r="J154" s="15">
        <v>1</v>
      </c>
      <c r="K154" s="5">
        <v>152</v>
      </c>
      <c r="L154" s="8">
        <f t="shared" si="70"/>
        <v>1</v>
      </c>
      <c r="M154" s="8">
        <f t="shared" si="71"/>
        <v>0</v>
      </c>
      <c r="N154" s="8">
        <f t="shared" si="72"/>
        <v>0</v>
      </c>
      <c r="O154" s="8">
        <f t="shared" si="73"/>
        <v>3</v>
      </c>
      <c r="P154" s="8">
        <f t="shared" si="74"/>
        <v>0</v>
      </c>
      <c r="Q154" s="8">
        <f t="shared" si="75"/>
        <v>0</v>
      </c>
      <c r="R154" s="8">
        <f t="shared" si="76"/>
        <v>0</v>
      </c>
      <c r="S154" s="8">
        <f t="shared" si="77"/>
        <v>1</v>
      </c>
      <c r="T154" s="8">
        <f t="shared" si="78"/>
        <v>0</v>
      </c>
      <c r="V154" s="8">
        <f t="shared" si="80"/>
        <v>3</v>
      </c>
      <c r="W154">
        <f t="shared" si="81"/>
        <v>1</v>
      </c>
      <c r="Y154" t="str">
        <f t="shared" si="82"/>
        <v>surprise</v>
      </c>
    </row>
    <row r="155" spans="2:25" x14ac:dyDescent="0.25">
      <c r="B155" s="5">
        <v>153</v>
      </c>
      <c r="C155" t="s">
        <v>6</v>
      </c>
      <c r="D155" t="s">
        <v>6</v>
      </c>
      <c r="E155" t="s">
        <v>0</v>
      </c>
      <c r="F155" t="s">
        <v>6</v>
      </c>
      <c r="G155" t="s">
        <v>6</v>
      </c>
      <c r="J155" s="15" t="s">
        <v>654</v>
      </c>
      <c r="K155" s="5">
        <v>153</v>
      </c>
      <c r="L155" s="8">
        <f t="shared" si="70"/>
        <v>0</v>
      </c>
      <c r="M155" s="8">
        <f t="shared" si="71"/>
        <v>0</v>
      </c>
      <c r="N155" s="8">
        <f t="shared" si="72"/>
        <v>4</v>
      </c>
      <c r="O155" s="8">
        <f t="shared" si="73"/>
        <v>0</v>
      </c>
      <c r="P155" s="8">
        <f t="shared" si="74"/>
        <v>0</v>
      </c>
      <c r="Q155" s="8">
        <f t="shared" si="75"/>
        <v>1</v>
      </c>
      <c r="R155" s="8">
        <f t="shared" si="76"/>
        <v>0</v>
      </c>
      <c r="S155" s="8">
        <f t="shared" si="77"/>
        <v>0</v>
      </c>
      <c r="T155" s="8">
        <f t="shared" si="78"/>
        <v>0</v>
      </c>
      <c r="V155" s="8">
        <f t="shared" si="80"/>
        <v>4</v>
      </c>
      <c r="W155">
        <f t="shared" si="81"/>
        <v>1</v>
      </c>
      <c r="Y155" t="str">
        <f t="shared" si="82"/>
        <v>fear</v>
      </c>
    </row>
    <row r="156" spans="2:25" x14ac:dyDescent="0.25">
      <c r="B156" s="5">
        <v>154</v>
      </c>
      <c r="C156" t="s">
        <v>6</v>
      </c>
      <c r="D156" t="s">
        <v>6</v>
      </c>
      <c r="E156" t="s">
        <v>5</v>
      </c>
      <c r="F156" t="s">
        <v>6</v>
      </c>
      <c r="G156" t="s">
        <v>6</v>
      </c>
      <c r="J156" s="15" t="s">
        <v>654</v>
      </c>
      <c r="K156" s="5">
        <v>154</v>
      </c>
      <c r="L156" s="8">
        <f t="shared" si="70"/>
        <v>0</v>
      </c>
      <c r="M156" s="8">
        <f t="shared" si="71"/>
        <v>0</v>
      </c>
      <c r="N156" s="8">
        <f t="shared" si="72"/>
        <v>4</v>
      </c>
      <c r="O156" s="8">
        <f t="shared" si="73"/>
        <v>0</v>
      </c>
      <c r="P156" s="8">
        <f t="shared" si="74"/>
        <v>1</v>
      </c>
      <c r="Q156" s="8">
        <f t="shared" si="75"/>
        <v>0</v>
      </c>
      <c r="R156" s="8">
        <f t="shared" si="76"/>
        <v>0</v>
      </c>
      <c r="S156" s="8">
        <f t="shared" si="77"/>
        <v>0</v>
      </c>
      <c r="T156" s="8">
        <f t="shared" si="78"/>
        <v>0</v>
      </c>
      <c r="V156" s="8">
        <f t="shared" si="80"/>
        <v>4</v>
      </c>
      <c r="W156">
        <f t="shared" si="81"/>
        <v>1</v>
      </c>
      <c r="Y156" t="str">
        <f t="shared" si="82"/>
        <v>fear</v>
      </c>
    </row>
    <row r="157" spans="2:25" x14ac:dyDescent="0.25">
      <c r="B157" s="5">
        <v>155</v>
      </c>
      <c r="C157" t="s">
        <v>3</v>
      </c>
      <c r="D157" t="s">
        <v>3</v>
      </c>
      <c r="E157" t="s">
        <v>3</v>
      </c>
      <c r="F157" t="s">
        <v>3</v>
      </c>
      <c r="G157" t="s">
        <v>1</v>
      </c>
      <c r="J157" s="15" t="s">
        <v>654</v>
      </c>
      <c r="K157" s="5">
        <v>155</v>
      </c>
      <c r="L157" s="8">
        <f t="shared" si="70"/>
        <v>4</v>
      </c>
      <c r="M157" s="8">
        <f t="shared" si="71"/>
        <v>1</v>
      </c>
      <c r="N157" s="8">
        <f t="shared" si="72"/>
        <v>0</v>
      </c>
      <c r="O157" s="8">
        <f t="shared" si="73"/>
        <v>0</v>
      </c>
      <c r="P157" s="8">
        <f t="shared" si="74"/>
        <v>0</v>
      </c>
      <c r="Q157" s="8">
        <f t="shared" si="75"/>
        <v>0</v>
      </c>
      <c r="R157" s="8">
        <f t="shared" si="76"/>
        <v>0</v>
      </c>
      <c r="S157" s="8">
        <f t="shared" si="77"/>
        <v>0</v>
      </c>
      <c r="T157" s="8">
        <f t="shared" si="78"/>
        <v>0</v>
      </c>
      <c r="V157" s="8">
        <f t="shared" si="80"/>
        <v>4</v>
      </c>
      <c r="W157">
        <f t="shared" si="81"/>
        <v>1</v>
      </c>
      <c r="Y157" t="str">
        <f t="shared" si="82"/>
        <v>joy</v>
      </c>
    </row>
    <row r="158" spans="2:25" x14ac:dyDescent="0.25">
      <c r="B158" s="5">
        <v>156</v>
      </c>
      <c r="C158" t="s">
        <v>6</v>
      </c>
      <c r="D158" t="s">
        <v>6</v>
      </c>
      <c r="E158" t="s">
        <v>2</v>
      </c>
      <c r="F158" t="s">
        <v>6</v>
      </c>
      <c r="G158" t="s">
        <v>7</v>
      </c>
      <c r="J158" s="15">
        <v>1</v>
      </c>
      <c r="K158" s="5">
        <v>156</v>
      </c>
      <c r="L158" s="8">
        <f t="shared" si="70"/>
        <v>0</v>
      </c>
      <c r="M158" s="8">
        <f t="shared" si="71"/>
        <v>0</v>
      </c>
      <c r="N158" s="8">
        <f t="shared" si="72"/>
        <v>3</v>
      </c>
      <c r="O158" s="8">
        <f t="shared" si="73"/>
        <v>1</v>
      </c>
      <c r="P158" s="8">
        <f t="shared" si="74"/>
        <v>0</v>
      </c>
      <c r="Q158" s="8">
        <f t="shared" si="75"/>
        <v>0</v>
      </c>
      <c r="R158" s="8">
        <f t="shared" si="76"/>
        <v>0</v>
      </c>
      <c r="S158" s="8">
        <f t="shared" si="77"/>
        <v>0</v>
      </c>
      <c r="T158" s="8">
        <f t="shared" si="78"/>
        <v>1</v>
      </c>
      <c r="V158" s="8">
        <f t="shared" si="80"/>
        <v>3</v>
      </c>
      <c r="W158">
        <f t="shared" si="81"/>
        <v>1</v>
      </c>
      <c r="Y158" t="str">
        <f t="shared" si="82"/>
        <v>fear</v>
      </c>
    </row>
    <row r="159" spans="2:25" x14ac:dyDescent="0.25">
      <c r="B159" s="5">
        <v>157</v>
      </c>
      <c r="C159" t="s">
        <v>6</v>
      </c>
      <c r="D159" t="s">
        <v>2</v>
      </c>
      <c r="E159" t="s">
        <v>2</v>
      </c>
      <c r="F159" t="s">
        <v>2</v>
      </c>
      <c r="G159" t="s">
        <v>2</v>
      </c>
      <c r="J159" s="15" t="s">
        <v>654</v>
      </c>
      <c r="K159" s="5">
        <v>157</v>
      </c>
      <c r="L159" s="8">
        <f t="shared" si="70"/>
        <v>0</v>
      </c>
      <c r="M159" s="8">
        <f t="shared" si="71"/>
        <v>0</v>
      </c>
      <c r="N159" s="8">
        <f t="shared" si="72"/>
        <v>1</v>
      </c>
      <c r="O159" s="8">
        <f t="shared" si="73"/>
        <v>0</v>
      </c>
      <c r="P159" s="8">
        <f t="shared" si="74"/>
        <v>0</v>
      </c>
      <c r="Q159" s="8">
        <f t="shared" si="75"/>
        <v>0</v>
      </c>
      <c r="R159" s="8">
        <f t="shared" si="76"/>
        <v>0</v>
      </c>
      <c r="S159" s="8">
        <f t="shared" si="77"/>
        <v>0</v>
      </c>
      <c r="T159" s="8">
        <f t="shared" si="78"/>
        <v>4</v>
      </c>
      <c r="V159" s="8">
        <f t="shared" si="80"/>
        <v>4</v>
      </c>
      <c r="W159">
        <f t="shared" si="81"/>
        <v>1</v>
      </c>
      <c r="Y159" t="str">
        <f t="shared" si="82"/>
        <v>AMBIGUOUS</v>
      </c>
    </row>
    <row r="160" spans="2:25" x14ac:dyDescent="0.25">
      <c r="B160" s="5">
        <v>158</v>
      </c>
      <c r="C160" t="s">
        <v>8</v>
      </c>
      <c r="D160" t="s">
        <v>8</v>
      </c>
      <c r="E160" t="s">
        <v>3</v>
      </c>
      <c r="F160" t="s">
        <v>8</v>
      </c>
      <c r="G160" t="s">
        <v>6</v>
      </c>
      <c r="J160" s="15">
        <v>1</v>
      </c>
      <c r="K160" s="5">
        <v>158</v>
      </c>
      <c r="L160" s="8">
        <f t="shared" si="70"/>
        <v>1</v>
      </c>
      <c r="M160" s="8">
        <f t="shared" si="71"/>
        <v>0</v>
      </c>
      <c r="N160" s="8">
        <f t="shared" si="72"/>
        <v>1</v>
      </c>
      <c r="O160" s="8">
        <f t="shared" si="73"/>
        <v>0</v>
      </c>
      <c r="P160" s="8">
        <f t="shared" si="74"/>
        <v>0</v>
      </c>
      <c r="Q160" s="8">
        <f t="shared" si="75"/>
        <v>0</v>
      </c>
      <c r="R160" s="8">
        <f t="shared" si="76"/>
        <v>0</v>
      </c>
      <c r="S160" s="8">
        <f t="shared" si="77"/>
        <v>3</v>
      </c>
      <c r="T160" s="8">
        <f t="shared" si="78"/>
        <v>0</v>
      </c>
      <c r="V160" s="8">
        <f t="shared" si="80"/>
        <v>3</v>
      </c>
      <c r="W160">
        <f t="shared" si="81"/>
        <v>1</v>
      </c>
      <c r="Y160" t="str">
        <f t="shared" si="82"/>
        <v>anticipation</v>
      </c>
    </row>
    <row r="161" spans="2:25" x14ac:dyDescent="0.25">
      <c r="B161" s="5">
        <v>159</v>
      </c>
      <c r="C161" t="s">
        <v>8</v>
      </c>
      <c r="D161" t="s">
        <v>6</v>
      </c>
      <c r="E161" t="s">
        <v>6</v>
      </c>
      <c r="F161" t="s">
        <v>6</v>
      </c>
      <c r="G161" t="s">
        <v>5</v>
      </c>
      <c r="J161" s="15">
        <v>1</v>
      </c>
      <c r="K161" s="5">
        <v>159</v>
      </c>
      <c r="L161" s="8">
        <f t="shared" si="70"/>
        <v>0</v>
      </c>
      <c r="M161" s="8">
        <f t="shared" si="71"/>
        <v>0</v>
      </c>
      <c r="N161" s="8">
        <f t="shared" si="72"/>
        <v>3</v>
      </c>
      <c r="O161" s="8">
        <f t="shared" si="73"/>
        <v>0</v>
      </c>
      <c r="P161" s="8">
        <f t="shared" si="74"/>
        <v>1</v>
      </c>
      <c r="Q161" s="8">
        <f t="shared" si="75"/>
        <v>0</v>
      </c>
      <c r="R161" s="8">
        <f t="shared" si="76"/>
        <v>0</v>
      </c>
      <c r="S161" s="8">
        <f t="shared" si="77"/>
        <v>1</v>
      </c>
      <c r="T161" s="8">
        <f t="shared" si="78"/>
        <v>0</v>
      </c>
      <c r="V161" s="8">
        <f t="shared" si="80"/>
        <v>3</v>
      </c>
      <c r="W161">
        <f t="shared" si="81"/>
        <v>1</v>
      </c>
      <c r="Y161" t="str">
        <f t="shared" si="82"/>
        <v>fear</v>
      </c>
    </row>
    <row r="162" spans="2:25" x14ac:dyDescent="0.25">
      <c r="B162" s="5">
        <v>160</v>
      </c>
      <c r="C162" t="s">
        <v>6</v>
      </c>
      <c r="D162" t="s">
        <v>6</v>
      </c>
      <c r="E162" t="s">
        <v>2</v>
      </c>
      <c r="F162" t="s">
        <v>6</v>
      </c>
      <c r="G162" t="s">
        <v>3</v>
      </c>
      <c r="J162" s="15">
        <v>1</v>
      </c>
      <c r="K162" s="5">
        <v>160</v>
      </c>
      <c r="L162" s="8">
        <f t="shared" si="70"/>
        <v>1</v>
      </c>
      <c r="M162" s="8">
        <f t="shared" si="71"/>
        <v>0</v>
      </c>
      <c r="N162" s="8">
        <f t="shared" si="72"/>
        <v>3</v>
      </c>
      <c r="O162" s="8">
        <f t="shared" si="73"/>
        <v>0</v>
      </c>
      <c r="P162" s="8">
        <f t="shared" si="74"/>
        <v>0</v>
      </c>
      <c r="Q162" s="8">
        <f t="shared" si="75"/>
        <v>0</v>
      </c>
      <c r="R162" s="8">
        <f t="shared" si="76"/>
        <v>0</v>
      </c>
      <c r="S162" s="8">
        <f t="shared" si="77"/>
        <v>0</v>
      </c>
      <c r="T162" s="8">
        <f t="shared" si="78"/>
        <v>1</v>
      </c>
      <c r="V162" s="8">
        <f t="shared" si="80"/>
        <v>3</v>
      </c>
      <c r="W162">
        <f t="shared" si="81"/>
        <v>1</v>
      </c>
      <c r="Y162" t="str">
        <f t="shared" si="82"/>
        <v>fear</v>
      </c>
    </row>
    <row r="163" spans="2:25" x14ac:dyDescent="0.25">
      <c r="B163" s="5">
        <v>161</v>
      </c>
      <c r="C163" t="s">
        <v>5</v>
      </c>
      <c r="D163" t="s">
        <v>4</v>
      </c>
      <c r="E163" t="s">
        <v>4</v>
      </c>
      <c r="F163" t="s">
        <v>4</v>
      </c>
      <c r="G163" t="s">
        <v>4</v>
      </c>
      <c r="J163" s="15" t="s">
        <v>654</v>
      </c>
      <c r="K163" s="5">
        <v>161</v>
      </c>
      <c r="L163" s="8">
        <f t="shared" si="70"/>
        <v>0</v>
      </c>
      <c r="M163" s="8">
        <f t="shared" si="71"/>
        <v>0</v>
      </c>
      <c r="N163" s="8">
        <f t="shared" si="72"/>
        <v>0</v>
      </c>
      <c r="O163" s="8">
        <f t="shared" si="73"/>
        <v>0</v>
      </c>
      <c r="P163" s="8">
        <f t="shared" si="74"/>
        <v>1</v>
      </c>
      <c r="Q163" s="8">
        <f t="shared" si="75"/>
        <v>0</v>
      </c>
      <c r="R163" s="8">
        <f t="shared" si="76"/>
        <v>4</v>
      </c>
      <c r="S163" s="8">
        <f t="shared" si="77"/>
        <v>0</v>
      </c>
      <c r="T163" s="8">
        <f t="shared" si="78"/>
        <v>0</v>
      </c>
      <c r="V163" s="8">
        <f t="shared" si="80"/>
        <v>4</v>
      </c>
      <c r="W163">
        <f t="shared" si="81"/>
        <v>1</v>
      </c>
      <c r="Y163" t="str">
        <f t="shared" si="82"/>
        <v>anger</v>
      </c>
    </row>
    <row r="164" spans="2:25" x14ac:dyDescent="0.25">
      <c r="B164" s="5">
        <v>162</v>
      </c>
      <c r="C164" t="s">
        <v>8</v>
      </c>
      <c r="D164" t="s">
        <v>3</v>
      </c>
      <c r="E164" t="s">
        <v>3</v>
      </c>
      <c r="F164" t="s">
        <v>3</v>
      </c>
      <c r="G164" t="s">
        <v>3</v>
      </c>
      <c r="J164" s="15" t="s">
        <v>654</v>
      </c>
      <c r="K164" s="5">
        <v>162</v>
      </c>
      <c r="L164" s="8">
        <f t="shared" si="70"/>
        <v>4</v>
      </c>
      <c r="M164" s="8">
        <f t="shared" si="71"/>
        <v>0</v>
      </c>
      <c r="N164" s="8">
        <f t="shared" si="72"/>
        <v>0</v>
      </c>
      <c r="O164" s="8">
        <f t="shared" si="73"/>
        <v>0</v>
      </c>
      <c r="P164" s="8">
        <f t="shared" si="74"/>
        <v>0</v>
      </c>
      <c r="Q164" s="8">
        <f t="shared" si="75"/>
        <v>0</v>
      </c>
      <c r="R164" s="8">
        <f t="shared" si="76"/>
        <v>0</v>
      </c>
      <c r="S164" s="8">
        <f t="shared" si="77"/>
        <v>1</v>
      </c>
      <c r="T164" s="8">
        <f t="shared" si="78"/>
        <v>0</v>
      </c>
      <c r="V164" s="8">
        <f t="shared" si="80"/>
        <v>4</v>
      </c>
      <c r="W164">
        <f t="shared" si="81"/>
        <v>1</v>
      </c>
      <c r="Y164" t="str">
        <f>INDEX($L$2:$T$2,MATCH(MAX(L164:T164),L164:T164,0))</f>
        <v>joy</v>
      </c>
    </row>
    <row r="165" spans="2:25" x14ac:dyDescent="0.25">
      <c r="B165" s="5">
        <v>163</v>
      </c>
      <c r="C165" t="s">
        <v>1</v>
      </c>
      <c r="D165" t="s">
        <v>7</v>
      </c>
      <c r="E165" t="s">
        <v>5</v>
      </c>
      <c r="F165" t="s">
        <v>7</v>
      </c>
      <c r="G165" t="s">
        <v>7</v>
      </c>
      <c r="J165" s="15">
        <v>1</v>
      </c>
      <c r="K165" s="5">
        <v>163</v>
      </c>
      <c r="L165" s="8">
        <f t="shared" si="70"/>
        <v>0</v>
      </c>
      <c r="M165" s="8">
        <f t="shared" si="71"/>
        <v>1</v>
      </c>
      <c r="N165" s="8">
        <f t="shared" si="72"/>
        <v>0</v>
      </c>
      <c r="O165" s="8">
        <f t="shared" si="73"/>
        <v>3</v>
      </c>
      <c r="P165" s="8">
        <f t="shared" si="74"/>
        <v>1</v>
      </c>
      <c r="Q165" s="8">
        <f t="shared" si="75"/>
        <v>0</v>
      </c>
      <c r="R165" s="8">
        <f t="shared" si="76"/>
        <v>0</v>
      </c>
      <c r="S165" s="8">
        <f t="shared" si="77"/>
        <v>0</v>
      </c>
      <c r="T165" s="8">
        <f t="shared" si="78"/>
        <v>0</v>
      </c>
      <c r="V165" s="8">
        <f t="shared" si="80"/>
        <v>3</v>
      </c>
      <c r="W165">
        <f t="shared" si="81"/>
        <v>1</v>
      </c>
      <c r="Y165" t="str">
        <f t="shared" ref="Y165:Y183" si="83">INDEX($L$2:$T$2,MATCH(MAX(L165:T165),L165:T165,0))</f>
        <v>surprise</v>
      </c>
    </row>
    <row r="166" spans="2:25" x14ac:dyDescent="0.25">
      <c r="B166" s="5">
        <v>164</v>
      </c>
      <c r="C166" t="s">
        <v>1</v>
      </c>
      <c r="D166" t="s">
        <v>5</v>
      </c>
      <c r="E166" t="s">
        <v>5</v>
      </c>
      <c r="F166" t="s">
        <v>5</v>
      </c>
      <c r="G166" t="s">
        <v>7</v>
      </c>
      <c r="J166" s="15">
        <v>1</v>
      </c>
      <c r="K166" s="5">
        <v>164</v>
      </c>
      <c r="L166" s="8">
        <f t="shared" si="70"/>
        <v>0</v>
      </c>
      <c r="M166" s="8">
        <f t="shared" si="71"/>
        <v>1</v>
      </c>
      <c r="N166" s="8">
        <f t="shared" si="72"/>
        <v>0</v>
      </c>
      <c r="O166" s="8">
        <f t="shared" si="73"/>
        <v>1</v>
      </c>
      <c r="P166" s="8">
        <f t="shared" si="74"/>
        <v>3</v>
      </c>
      <c r="Q166" s="8">
        <f t="shared" si="75"/>
        <v>0</v>
      </c>
      <c r="R166" s="8">
        <f t="shared" si="76"/>
        <v>0</v>
      </c>
      <c r="S166" s="8">
        <f t="shared" si="77"/>
        <v>0</v>
      </c>
      <c r="T166" s="8">
        <f t="shared" si="78"/>
        <v>0</v>
      </c>
      <c r="V166" s="8">
        <f t="shared" si="80"/>
        <v>3</v>
      </c>
      <c r="W166">
        <f t="shared" si="81"/>
        <v>1</v>
      </c>
      <c r="Y166" t="str">
        <f t="shared" si="83"/>
        <v>sadness</v>
      </c>
    </row>
    <row r="167" spans="2:25" x14ac:dyDescent="0.25">
      <c r="B167" s="5">
        <v>165</v>
      </c>
      <c r="C167" t="s">
        <v>1</v>
      </c>
      <c r="D167" t="s">
        <v>7</v>
      </c>
      <c r="E167" t="s">
        <v>3</v>
      </c>
      <c r="F167" t="s">
        <v>7</v>
      </c>
      <c r="G167" t="s">
        <v>7</v>
      </c>
      <c r="J167" s="15">
        <v>1</v>
      </c>
      <c r="K167" s="5">
        <v>165</v>
      </c>
      <c r="L167" s="8">
        <f t="shared" si="70"/>
        <v>1</v>
      </c>
      <c r="M167" s="8">
        <f t="shared" si="71"/>
        <v>1</v>
      </c>
      <c r="N167" s="8">
        <f t="shared" si="72"/>
        <v>0</v>
      </c>
      <c r="O167" s="8">
        <f t="shared" si="73"/>
        <v>3</v>
      </c>
      <c r="P167" s="8">
        <f t="shared" si="74"/>
        <v>0</v>
      </c>
      <c r="Q167" s="8">
        <f t="shared" si="75"/>
        <v>0</v>
      </c>
      <c r="R167" s="8">
        <f t="shared" si="76"/>
        <v>0</v>
      </c>
      <c r="S167" s="8">
        <f t="shared" si="77"/>
        <v>0</v>
      </c>
      <c r="T167" s="8">
        <f t="shared" si="78"/>
        <v>0</v>
      </c>
      <c r="V167" s="8">
        <f t="shared" si="80"/>
        <v>3</v>
      </c>
      <c r="W167">
        <f t="shared" si="81"/>
        <v>1</v>
      </c>
      <c r="Y167" t="str">
        <f t="shared" si="83"/>
        <v>surprise</v>
      </c>
    </row>
    <row r="168" spans="2:25" x14ac:dyDescent="0.25">
      <c r="B168" s="5">
        <v>166</v>
      </c>
      <c r="C168" t="s">
        <v>6</v>
      </c>
      <c r="D168" t="s">
        <v>6</v>
      </c>
      <c r="E168" t="s">
        <v>3</v>
      </c>
      <c r="F168" t="s">
        <v>6</v>
      </c>
      <c r="G168" t="s">
        <v>1</v>
      </c>
      <c r="J168" s="15">
        <v>1</v>
      </c>
      <c r="K168" s="5">
        <v>166</v>
      </c>
      <c r="L168" s="8">
        <f t="shared" si="70"/>
        <v>1</v>
      </c>
      <c r="M168" s="8">
        <f t="shared" si="71"/>
        <v>1</v>
      </c>
      <c r="N168" s="8">
        <f t="shared" si="72"/>
        <v>3</v>
      </c>
      <c r="O168" s="8">
        <f t="shared" si="73"/>
        <v>0</v>
      </c>
      <c r="P168" s="8">
        <f t="shared" si="74"/>
        <v>0</v>
      </c>
      <c r="Q168" s="8">
        <f t="shared" si="75"/>
        <v>0</v>
      </c>
      <c r="R168" s="8">
        <f t="shared" si="76"/>
        <v>0</v>
      </c>
      <c r="S168" s="8">
        <f t="shared" si="77"/>
        <v>0</v>
      </c>
      <c r="T168" s="8">
        <f t="shared" si="78"/>
        <v>0</v>
      </c>
      <c r="V168" s="8">
        <f t="shared" si="80"/>
        <v>3</v>
      </c>
      <c r="W168">
        <f t="shared" si="81"/>
        <v>1</v>
      </c>
      <c r="Y168" t="str">
        <f t="shared" si="83"/>
        <v>fear</v>
      </c>
    </row>
    <row r="169" spans="2:25" x14ac:dyDescent="0.25">
      <c r="B169" s="5">
        <v>167</v>
      </c>
      <c r="C169" t="s">
        <v>0</v>
      </c>
      <c r="D169" t="s">
        <v>0</v>
      </c>
      <c r="E169" t="s">
        <v>5</v>
      </c>
      <c r="F169" t="s">
        <v>0</v>
      </c>
      <c r="G169" t="s">
        <v>1</v>
      </c>
      <c r="J169" s="15">
        <v>1</v>
      </c>
      <c r="K169" s="5">
        <v>167</v>
      </c>
      <c r="L169" s="8">
        <f t="shared" si="70"/>
        <v>0</v>
      </c>
      <c r="M169" s="8">
        <f t="shared" si="71"/>
        <v>1</v>
      </c>
      <c r="N169" s="8">
        <f t="shared" si="72"/>
        <v>0</v>
      </c>
      <c r="O169" s="8">
        <f t="shared" si="73"/>
        <v>0</v>
      </c>
      <c r="P169" s="8">
        <f t="shared" si="74"/>
        <v>1</v>
      </c>
      <c r="Q169" s="8">
        <f t="shared" si="75"/>
        <v>3</v>
      </c>
      <c r="R169" s="8">
        <f t="shared" si="76"/>
        <v>0</v>
      </c>
      <c r="S169" s="8">
        <f t="shared" si="77"/>
        <v>0</v>
      </c>
      <c r="T169" s="8">
        <f t="shared" si="78"/>
        <v>0</v>
      </c>
      <c r="V169" s="8">
        <f t="shared" si="80"/>
        <v>3</v>
      </c>
      <c r="W169">
        <f t="shared" si="81"/>
        <v>1</v>
      </c>
      <c r="Y169" t="str">
        <f t="shared" si="83"/>
        <v>disgust</v>
      </c>
    </row>
    <row r="170" spans="2:25" x14ac:dyDescent="0.25">
      <c r="B170" s="5">
        <v>168</v>
      </c>
      <c r="C170" t="s">
        <v>8</v>
      </c>
      <c r="D170" t="s">
        <v>8</v>
      </c>
      <c r="E170" t="s">
        <v>3</v>
      </c>
      <c r="F170" t="s">
        <v>8</v>
      </c>
      <c r="G170" t="s">
        <v>7</v>
      </c>
      <c r="J170" s="15">
        <v>1</v>
      </c>
      <c r="K170" s="5">
        <v>168</v>
      </c>
      <c r="L170" s="8">
        <f t="shared" si="70"/>
        <v>1</v>
      </c>
      <c r="M170" s="8">
        <f t="shared" si="71"/>
        <v>0</v>
      </c>
      <c r="N170" s="8">
        <f t="shared" si="72"/>
        <v>0</v>
      </c>
      <c r="O170" s="8">
        <f t="shared" si="73"/>
        <v>1</v>
      </c>
      <c r="P170" s="8">
        <f t="shared" si="74"/>
        <v>0</v>
      </c>
      <c r="Q170" s="8">
        <f t="shared" si="75"/>
        <v>0</v>
      </c>
      <c r="R170" s="8">
        <f t="shared" si="76"/>
        <v>0</v>
      </c>
      <c r="S170" s="8">
        <f t="shared" si="77"/>
        <v>3</v>
      </c>
      <c r="T170" s="8">
        <f t="shared" si="78"/>
        <v>0</v>
      </c>
      <c r="V170" s="8">
        <f t="shared" si="80"/>
        <v>3</v>
      </c>
      <c r="W170">
        <f t="shared" si="81"/>
        <v>1</v>
      </c>
      <c r="Y170" t="str">
        <f t="shared" si="83"/>
        <v>anticipation</v>
      </c>
    </row>
    <row r="171" spans="2:25" x14ac:dyDescent="0.25">
      <c r="B171" s="5">
        <v>169</v>
      </c>
      <c r="C171" t="s">
        <v>0</v>
      </c>
      <c r="D171" t="s">
        <v>7</v>
      </c>
      <c r="E171" t="s">
        <v>3</v>
      </c>
      <c r="F171" t="s">
        <v>7</v>
      </c>
      <c r="G171" t="s">
        <v>7</v>
      </c>
      <c r="J171" s="15">
        <v>1</v>
      </c>
      <c r="K171" s="5">
        <v>169</v>
      </c>
      <c r="L171" s="8">
        <f t="shared" si="70"/>
        <v>1</v>
      </c>
      <c r="M171" s="8">
        <f t="shared" si="71"/>
        <v>0</v>
      </c>
      <c r="N171" s="8">
        <f t="shared" si="72"/>
        <v>0</v>
      </c>
      <c r="O171" s="8">
        <f t="shared" si="73"/>
        <v>3</v>
      </c>
      <c r="P171" s="8">
        <f t="shared" si="74"/>
        <v>0</v>
      </c>
      <c r="Q171" s="8">
        <f t="shared" si="75"/>
        <v>1</v>
      </c>
      <c r="R171" s="8">
        <f t="shared" si="76"/>
        <v>0</v>
      </c>
      <c r="S171" s="8">
        <f t="shared" si="77"/>
        <v>0</v>
      </c>
      <c r="T171" s="8">
        <f t="shared" si="78"/>
        <v>0</v>
      </c>
      <c r="V171" s="8">
        <f t="shared" si="80"/>
        <v>3</v>
      </c>
      <c r="W171">
        <f t="shared" si="81"/>
        <v>1</v>
      </c>
      <c r="Y171" t="str">
        <f t="shared" si="83"/>
        <v>surprise</v>
      </c>
    </row>
    <row r="172" spans="2:25" x14ac:dyDescent="0.25">
      <c r="B172" s="5">
        <v>170</v>
      </c>
      <c r="C172" t="s">
        <v>5</v>
      </c>
      <c r="D172" t="s">
        <v>5</v>
      </c>
      <c r="E172" t="s">
        <v>3</v>
      </c>
      <c r="F172" t="s">
        <v>5</v>
      </c>
      <c r="G172" t="s">
        <v>1</v>
      </c>
      <c r="J172" s="15">
        <v>1</v>
      </c>
      <c r="K172" s="5">
        <v>170</v>
      </c>
      <c r="L172" s="8">
        <f t="shared" si="70"/>
        <v>1</v>
      </c>
      <c r="M172" s="8">
        <f t="shared" si="71"/>
        <v>1</v>
      </c>
      <c r="N172" s="8">
        <f t="shared" si="72"/>
        <v>0</v>
      </c>
      <c r="O172" s="8">
        <f t="shared" si="73"/>
        <v>0</v>
      </c>
      <c r="P172" s="8">
        <f t="shared" si="74"/>
        <v>3</v>
      </c>
      <c r="Q172" s="8">
        <f t="shared" si="75"/>
        <v>0</v>
      </c>
      <c r="R172" s="8">
        <f t="shared" si="76"/>
        <v>0</v>
      </c>
      <c r="S172" s="8">
        <f t="shared" si="77"/>
        <v>0</v>
      </c>
      <c r="T172" s="8">
        <f t="shared" si="78"/>
        <v>0</v>
      </c>
      <c r="V172" s="8">
        <f t="shared" si="80"/>
        <v>3</v>
      </c>
      <c r="W172">
        <f t="shared" si="81"/>
        <v>1</v>
      </c>
      <c r="Y172" t="str">
        <f t="shared" si="83"/>
        <v>sadness</v>
      </c>
    </row>
    <row r="173" spans="2:25" x14ac:dyDescent="0.25">
      <c r="B173" s="5">
        <v>171</v>
      </c>
      <c r="C173" t="s">
        <v>8</v>
      </c>
      <c r="D173" t="s">
        <v>7</v>
      </c>
      <c r="E173" t="s">
        <v>3</v>
      </c>
      <c r="F173" t="s">
        <v>7</v>
      </c>
      <c r="G173" t="s">
        <v>7</v>
      </c>
      <c r="J173" s="15">
        <v>1</v>
      </c>
      <c r="K173" s="5">
        <v>171</v>
      </c>
      <c r="L173" s="8">
        <f t="shared" si="70"/>
        <v>1</v>
      </c>
      <c r="M173" s="8">
        <f t="shared" si="71"/>
        <v>0</v>
      </c>
      <c r="N173" s="8">
        <f t="shared" si="72"/>
        <v>0</v>
      </c>
      <c r="O173" s="8">
        <f t="shared" si="73"/>
        <v>3</v>
      </c>
      <c r="P173" s="8">
        <f t="shared" si="74"/>
        <v>0</v>
      </c>
      <c r="Q173" s="8">
        <f t="shared" si="75"/>
        <v>0</v>
      </c>
      <c r="R173" s="8">
        <f t="shared" si="76"/>
        <v>0</v>
      </c>
      <c r="S173" s="8">
        <f t="shared" si="77"/>
        <v>1</v>
      </c>
      <c r="T173" s="8">
        <f t="shared" si="78"/>
        <v>0</v>
      </c>
      <c r="V173" s="8">
        <f t="shared" si="80"/>
        <v>3</v>
      </c>
      <c r="W173">
        <f t="shared" si="81"/>
        <v>1</v>
      </c>
      <c r="Y173" t="str">
        <f t="shared" si="83"/>
        <v>surprise</v>
      </c>
    </row>
    <row r="174" spans="2:25" x14ac:dyDescent="0.25">
      <c r="B174" s="5">
        <v>172</v>
      </c>
      <c r="C174" t="s">
        <v>3</v>
      </c>
      <c r="D174" t="s">
        <v>3</v>
      </c>
      <c r="E174" t="s">
        <v>3</v>
      </c>
      <c r="F174" t="s">
        <v>3</v>
      </c>
      <c r="G174" t="s">
        <v>2</v>
      </c>
      <c r="J174" s="15" t="s">
        <v>654</v>
      </c>
      <c r="K174" s="5">
        <v>172</v>
      </c>
      <c r="L174" s="8">
        <f t="shared" si="70"/>
        <v>4</v>
      </c>
      <c r="M174" s="8">
        <f t="shared" si="71"/>
        <v>0</v>
      </c>
      <c r="N174" s="8">
        <f t="shared" si="72"/>
        <v>0</v>
      </c>
      <c r="O174" s="8">
        <f t="shared" si="73"/>
        <v>0</v>
      </c>
      <c r="P174" s="8">
        <f t="shared" si="74"/>
        <v>0</v>
      </c>
      <c r="Q174" s="8">
        <f t="shared" si="75"/>
        <v>0</v>
      </c>
      <c r="R174" s="8">
        <f t="shared" si="76"/>
        <v>0</v>
      </c>
      <c r="S174" s="8">
        <f t="shared" si="77"/>
        <v>0</v>
      </c>
      <c r="T174" s="8">
        <f t="shared" si="78"/>
        <v>1</v>
      </c>
      <c r="V174" s="8">
        <f t="shared" si="80"/>
        <v>4</v>
      </c>
      <c r="W174">
        <f t="shared" si="81"/>
        <v>1</v>
      </c>
      <c r="Y174" t="str">
        <f t="shared" si="83"/>
        <v>joy</v>
      </c>
    </row>
    <row r="175" spans="2:25" x14ac:dyDescent="0.25">
      <c r="B175" s="5">
        <v>173</v>
      </c>
      <c r="C175" t="s">
        <v>3</v>
      </c>
      <c r="D175" t="s">
        <v>3</v>
      </c>
      <c r="E175" t="s">
        <v>3</v>
      </c>
      <c r="F175" t="s">
        <v>3</v>
      </c>
      <c r="G175" t="s">
        <v>2</v>
      </c>
      <c r="J175" s="15" t="s">
        <v>654</v>
      </c>
      <c r="K175" s="5">
        <v>173</v>
      </c>
      <c r="L175" s="8">
        <f t="shared" si="70"/>
        <v>4</v>
      </c>
      <c r="M175" s="8">
        <f t="shared" si="71"/>
        <v>0</v>
      </c>
      <c r="N175" s="8">
        <f t="shared" si="72"/>
        <v>0</v>
      </c>
      <c r="O175" s="8">
        <f t="shared" si="73"/>
        <v>0</v>
      </c>
      <c r="P175" s="8">
        <f t="shared" si="74"/>
        <v>0</v>
      </c>
      <c r="Q175" s="8">
        <f t="shared" si="75"/>
        <v>0</v>
      </c>
      <c r="R175" s="8">
        <f t="shared" si="76"/>
        <v>0</v>
      </c>
      <c r="S175" s="8">
        <f t="shared" si="77"/>
        <v>0</v>
      </c>
      <c r="T175" s="8">
        <f t="shared" si="78"/>
        <v>1</v>
      </c>
      <c r="V175" s="8">
        <f t="shared" si="80"/>
        <v>4</v>
      </c>
      <c r="W175">
        <f t="shared" si="81"/>
        <v>1</v>
      </c>
      <c r="Y175" t="str">
        <f t="shared" si="83"/>
        <v>joy</v>
      </c>
    </row>
    <row r="176" spans="2:25" x14ac:dyDescent="0.25">
      <c r="B176" s="5">
        <v>174</v>
      </c>
      <c r="C176" t="s">
        <v>3</v>
      </c>
      <c r="D176" t="s">
        <v>3</v>
      </c>
      <c r="E176" t="s">
        <v>3</v>
      </c>
      <c r="F176" t="s">
        <v>3</v>
      </c>
      <c r="G176" t="s">
        <v>1</v>
      </c>
      <c r="J176" s="15" t="s">
        <v>654</v>
      </c>
      <c r="K176" s="5">
        <v>174</v>
      </c>
      <c r="L176" s="8">
        <f t="shared" si="70"/>
        <v>4</v>
      </c>
      <c r="M176" s="8">
        <f t="shared" si="71"/>
        <v>1</v>
      </c>
      <c r="N176" s="8">
        <f t="shared" si="72"/>
        <v>0</v>
      </c>
      <c r="O176" s="8">
        <f t="shared" si="73"/>
        <v>0</v>
      </c>
      <c r="P176" s="8">
        <f t="shared" si="74"/>
        <v>0</v>
      </c>
      <c r="Q176" s="8">
        <f t="shared" si="75"/>
        <v>0</v>
      </c>
      <c r="R176" s="8">
        <f t="shared" si="76"/>
        <v>0</v>
      </c>
      <c r="S176" s="8">
        <f t="shared" si="77"/>
        <v>0</v>
      </c>
      <c r="T176" s="8">
        <f t="shared" si="78"/>
        <v>0</v>
      </c>
      <c r="V176" s="8">
        <f t="shared" si="80"/>
        <v>4</v>
      </c>
      <c r="W176">
        <f t="shared" si="81"/>
        <v>1</v>
      </c>
      <c r="Y176" t="str">
        <f t="shared" si="83"/>
        <v>joy</v>
      </c>
    </row>
    <row r="177" spans="2:25" x14ac:dyDescent="0.25">
      <c r="B177" s="5">
        <v>175</v>
      </c>
      <c r="C177" t="s">
        <v>5</v>
      </c>
      <c r="D177" t="s">
        <v>1</v>
      </c>
      <c r="E177" t="s">
        <v>6</v>
      </c>
      <c r="F177" t="s">
        <v>1</v>
      </c>
      <c r="G177" t="s">
        <v>1</v>
      </c>
      <c r="J177" s="15">
        <v>1</v>
      </c>
      <c r="K177" s="5">
        <v>175</v>
      </c>
      <c r="L177" s="8">
        <f t="shared" si="70"/>
        <v>0</v>
      </c>
      <c r="M177" s="8">
        <f t="shared" si="71"/>
        <v>3</v>
      </c>
      <c r="N177" s="8">
        <f t="shared" si="72"/>
        <v>1</v>
      </c>
      <c r="O177" s="8">
        <f t="shared" si="73"/>
        <v>0</v>
      </c>
      <c r="P177" s="8">
        <f t="shared" si="74"/>
        <v>1</v>
      </c>
      <c r="Q177" s="8">
        <f t="shared" si="75"/>
        <v>0</v>
      </c>
      <c r="R177" s="8">
        <f t="shared" si="76"/>
        <v>0</v>
      </c>
      <c r="S177" s="8">
        <f t="shared" si="77"/>
        <v>0</v>
      </c>
      <c r="T177" s="8">
        <f t="shared" si="78"/>
        <v>0</v>
      </c>
      <c r="V177" s="8">
        <f t="shared" si="80"/>
        <v>3</v>
      </c>
      <c r="W177">
        <f t="shared" si="81"/>
        <v>1</v>
      </c>
      <c r="Y177" t="str">
        <f t="shared" si="83"/>
        <v>trust</v>
      </c>
    </row>
    <row r="178" spans="2:25" x14ac:dyDescent="0.25">
      <c r="B178" s="5">
        <v>176</v>
      </c>
      <c r="C178" t="s">
        <v>8</v>
      </c>
      <c r="D178" t="s">
        <v>3</v>
      </c>
      <c r="E178" t="s">
        <v>3</v>
      </c>
      <c r="F178" t="s">
        <v>3</v>
      </c>
      <c r="G178" t="s">
        <v>3</v>
      </c>
      <c r="J178" s="15" t="s">
        <v>654</v>
      </c>
      <c r="K178" s="5">
        <v>176</v>
      </c>
      <c r="L178" s="8">
        <f t="shared" si="70"/>
        <v>4</v>
      </c>
      <c r="M178" s="8">
        <f t="shared" si="71"/>
        <v>0</v>
      </c>
      <c r="N178" s="8">
        <f t="shared" si="72"/>
        <v>0</v>
      </c>
      <c r="O178" s="8">
        <f t="shared" si="73"/>
        <v>0</v>
      </c>
      <c r="P178" s="8">
        <f t="shared" si="74"/>
        <v>0</v>
      </c>
      <c r="Q178" s="8">
        <f t="shared" si="75"/>
        <v>0</v>
      </c>
      <c r="R178" s="8">
        <f t="shared" si="76"/>
        <v>0</v>
      </c>
      <c r="S178" s="8">
        <f t="shared" si="77"/>
        <v>1</v>
      </c>
      <c r="T178" s="8">
        <f t="shared" si="78"/>
        <v>0</v>
      </c>
      <c r="V178" s="8">
        <f t="shared" si="80"/>
        <v>4</v>
      </c>
      <c r="W178">
        <f t="shared" si="81"/>
        <v>1</v>
      </c>
      <c r="Y178" t="str">
        <f t="shared" si="83"/>
        <v>joy</v>
      </c>
    </row>
    <row r="179" spans="2:25" x14ac:dyDescent="0.25">
      <c r="B179" s="5">
        <v>177</v>
      </c>
      <c r="C179" t="s">
        <v>3</v>
      </c>
      <c r="D179" t="s">
        <v>3</v>
      </c>
      <c r="E179" t="s">
        <v>3</v>
      </c>
      <c r="F179" t="s">
        <v>3</v>
      </c>
      <c r="G179" t="s">
        <v>1</v>
      </c>
      <c r="J179" s="15" t="s">
        <v>654</v>
      </c>
      <c r="K179" s="5">
        <v>177</v>
      </c>
      <c r="L179" s="8">
        <f t="shared" si="70"/>
        <v>4</v>
      </c>
      <c r="M179" s="8">
        <f t="shared" si="71"/>
        <v>1</v>
      </c>
      <c r="N179" s="8">
        <f t="shared" si="72"/>
        <v>0</v>
      </c>
      <c r="O179" s="8">
        <f t="shared" si="73"/>
        <v>0</v>
      </c>
      <c r="P179" s="8">
        <f t="shared" si="74"/>
        <v>0</v>
      </c>
      <c r="Q179" s="8">
        <f t="shared" si="75"/>
        <v>0</v>
      </c>
      <c r="R179" s="8">
        <f t="shared" si="76"/>
        <v>0</v>
      </c>
      <c r="S179" s="8">
        <f t="shared" si="77"/>
        <v>0</v>
      </c>
      <c r="T179" s="8">
        <f t="shared" si="78"/>
        <v>0</v>
      </c>
      <c r="V179" s="8">
        <f t="shared" si="80"/>
        <v>4</v>
      </c>
      <c r="W179">
        <f t="shared" si="81"/>
        <v>1</v>
      </c>
      <c r="Y179" t="str">
        <f t="shared" si="83"/>
        <v>joy</v>
      </c>
    </row>
    <row r="180" spans="2:25" x14ac:dyDescent="0.25">
      <c r="B180" s="5">
        <v>178</v>
      </c>
      <c r="C180" t="s">
        <v>3</v>
      </c>
      <c r="D180" t="s">
        <v>3</v>
      </c>
      <c r="E180" t="s">
        <v>3</v>
      </c>
      <c r="F180" t="s">
        <v>3</v>
      </c>
      <c r="G180" t="s">
        <v>3</v>
      </c>
      <c r="J180" s="15" t="s">
        <v>654</v>
      </c>
      <c r="K180" s="5">
        <v>178</v>
      </c>
      <c r="L180" s="8">
        <f t="shared" si="70"/>
        <v>5</v>
      </c>
      <c r="M180" s="8">
        <f t="shared" si="71"/>
        <v>0</v>
      </c>
      <c r="N180" s="8">
        <f t="shared" si="72"/>
        <v>0</v>
      </c>
      <c r="O180" s="8">
        <f t="shared" si="73"/>
        <v>0</v>
      </c>
      <c r="P180" s="8">
        <f t="shared" si="74"/>
        <v>0</v>
      </c>
      <c r="Q180" s="8">
        <f t="shared" si="75"/>
        <v>0</v>
      </c>
      <c r="R180" s="8">
        <f t="shared" si="76"/>
        <v>0</v>
      </c>
      <c r="S180" s="8">
        <f t="shared" si="77"/>
        <v>0</v>
      </c>
      <c r="T180" s="8">
        <f t="shared" si="78"/>
        <v>0</v>
      </c>
      <c r="V180" s="8">
        <f t="shared" si="80"/>
        <v>5</v>
      </c>
      <c r="W180">
        <f t="shared" si="81"/>
        <v>1</v>
      </c>
      <c r="Y180" t="str">
        <f t="shared" si="83"/>
        <v>joy</v>
      </c>
    </row>
    <row r="181" spans="2:25" x14ac:dyDescent="0.25">
      <c r="B181" s="5">
        <v>179</v>
      </c>
      <c r="C181" t="s">
        <v>8</v>
      </c>
      <c r="D181" t="s">
        <v>3</v>
      </c>
      <c r="E181" t="s">
        <v>3</v>
      </c>
      <c r="F181" t="s">
        <v>3</v>
      </c>
      <c r="G181" t="s">
        <v>7</v>
      </c>
      <c r="J181" s="15">
        <v>1</v>
      </c>
      <c r="K181" s="5">
        <v>179</v>
      </c>
      <c r="L181" s="8">
        <f t="shared" si="70"/>
        <v>3</v>
      </c>
      <c r="M181" s="8">
        <f t="shared" si="71"/>
        <v>0</v>
      </c>
      <c r="N181" s="8">
        <f t="shared" si="72"/>
        <v>0</v>
      </c>
      <c r="O181" s="8">
        <f t="shared" si="73"/>
        <v>1</v>
      </c>
      <c r="P181" s="8">
        <f t="shared" si="74"/>
        <v>0</v>
      </c>
      <c r="Q181" s="8">
        <f t="shared" si="75"/>
        <v>0</v>
      </c>
      <c r="R181" s="8">
        <f t="shared" si="76"/>
        <v>0</v>
      </c>
      <c r="S181" s="8">
        <f t="shared" si="77"/>
        <v>1</v>
      </c>
      <c r="T181" s="8">
        <f t="shared" si="78"/>
        <v>0</v>
      </c>
      <c r="V181" s="8">
        <f t="shared" si="80"/>
        <v>3</v>
      </c>
      <c r="W181">
        <f t="shared" si="81"/>
        <v>1</v>
      </c>
      <c r="Y181" t="str">
        <f t="shared" si="83"/>
        <v>joy</v>
      </c>
    </row>
    <row r="182" spans="2:25" x14ac:dyDescent="0.25">
      <c r="B182" s="5">
        <v>180</v>
      </c>
      <c r="C182" t="s">
        <v>3</v>
      </c>
      <c r="D182" t="s">
        <v>3</v>
      </c>
      <c r="E182" t="s">
        <v>3</v>
      </c>
      <c r="F182" t="s">
        <v>3</v>
      </c>
      <c r="G182" t="s">
        <v>1</v>
      </c>
      <c r="J182" s="15" t="s">
        <v>654</v>
      </c>
      <c r="K182" s="5">
        <v>180</v>
      </c>
      <c r="L182" s="8">
        <f t="shared" si="70"/>
        <v>4</v>
      </c>
      <c r="M182" s="8">
        <f t="shared" si="71"/>
        <v>1</v>
      </c>
      <c r="N182" s="8">
        <f t="shared" si="72"/>
        <v>0</v>
      </c>
      <c r="O182" s="8">
        <f t="shared" si="73"/>
        <v>0</v>
      </c>
      <c r="P182" s="8">
        <f t="shared" si="74"/>
        <v>0</v>
      </c>
      <c r="Q182" s="8">
        <f t="shared" si="75"/>
        <v>0</v>
      </c>
      <c r="R182" s="8">
        <f t="shared" si="76"/>
        <v>0</v>
      </c>
      <c r="S182" s="8">
        <f t="shared" si="77"/>
        <v>0</v>
      </c>
      <c r="T182" s="8">
        <f t="shared" si="78"/>
        <v>0</v>
      </c>
      <c r="V182" s="8">
        <f t="shared" si="80"/>
        <v>4</v>
      </c>
      <c r="W182">
        <f t="shared" si="81"/>
        <v>1</v>
      </c>
      <c r="Y182" t="str">
        <f t="shared" si="83"/>
        <v>joy</v>
      </c>
    </row>
    <row r="183" spans="2:25" x14ac:dyDescent="0.25">
      <c r="B183" s="5">
        <v>181</v>
      </c>
      <c r="C183" t="s">
        <v>3</v>
      </c>
      <c r="D183" t="s">
        <v>3</v>
      </c>
      <c r="E183" t="s">
        <v>3</v>
      </c>
      <c r="F183" t="s">
        <v>3</v>
      </c>
      <c r="G183" t="s">
        <v>1</v>
      </c>
      <c r="J183" s="15" t="s">
        <v>654</v>
      </c>
      <c r="K183" s="5">
        <v>181</v>
      </c>
      <c r="L183" s="8">
        <f t="shared" si="70"/>
        <v>4</v>
      </c>
      <c r="M183" s="8">
        <f t="shared" si="71"/>
        <v>1</v>
      </c>
      <c r="N183" s="8">
        <f t="shared" si="72"/>
        <v>0</v>
      </c>
      <c r="O183" s="8">
        <f t="shared" si="73"/>
        <v>0</v>
      </c>
      <c r="P183" s="8">
        <f t="shared" si="74"/>
        <v>0</v>
      </c>
      <c r="Q183" s="8">
        <f t="shared" si="75"/>
        <v>0</v>
      </c>
      <c r="R183" s="8">
        <f t="shared" si="76"/>
        <v>0</v>
      </c>
      <c r="S183" s="8">
        <f t="shared" si="77"/>
        <v>0</v>
      </c>
      <c r="T183" s="8">
        <f t="shared" si="78"/>
        <v>0</v>
      </c>
      <c r="V183" s="8">
        <f t="shared" si="80"/>
        <v>4</v>
      </c>
      <c r="W183">
        <f t="shared" si="81"/>
        <v>1</v>
      </c>
      <c r="Y183" t="str">
        <f t="shared" si="83"/>
        <v>joy</v>
      </c>
    </row>
    <row r="184" spans="2:25" x14ac:dyDescent="0.25">
      <c r="B184" s="5">
        <v>182</v>
      </c>
      <c r="C184" t="s">
        <v>3</v>
      </c>
      <c r="D184" t="s">
        <v>3</v>
      </c>
      <c r="E184" t="s">
        <v>3</v>
      </c>
      <c r="F184" t="s">
        <v>3</v>
      </c>
      <c r="G184" t="s">
        <v>1</v>
      </c>
      <c r="J184" s="15" t="s">
        <v>654</v>
      </c>
      <c r="K184" s="5">
        <v>182</v>
      </c>
      <c r="L184" s="8">
        <f t="shared" si="70"/>
        <v>4</v>
      </c>
      <c r="M184" s="8">
        <f t="shared" si="71"/>
        <v>1</v>
      </c>
      <c r="N184" s="8">
        <f t="shared" si="72"/>
        <v>0</v>
      </c>
      <c r="O184" s="8">
        <f t="shared" si="73"/>
        <v>0</v>
      </c>
      <c r="P184" s="8">
        <f t="shared" si="74"/>
        <v>0</v>
      </c>
      <c r="Q184" s="8">
        <f t="shared" si="75"/>
        <v>0</v>
      </c>
      <c r="R184" s="8">
        <f t="shared" si="76"/>
        <v>0</v>
      </c>
      <c r="S184" s="8">
        <f t="shared" si="77"/>
        <v>0</v>
      </c>
      <c r="T184" s="8">
        <f t="shared" si="78"/>
        <v>0</v>
      </c>
      <c r="V184" s="8">
        <f t="shared" si="80"/>
        <v>4</v>
      </c>
      <c r="W184">
        <f t="shared" si="81"/>
        <v>1</v>
      </c>
      <c r="Y184" t="str">
        <f>INDEX($L$2:$T$2,MATCH(MAX(L184:T184),L184:T184,0))</f>
        <v>joy</v>
      </c>
    </row>
    <row r="185" spans="2:25" x14ac:dyDescent="0.25">
      <c r="B185" s="5">
        <v>183</v>
      </c>
      <c r="C185" t="s">
        <v>6</v>
      </c>
      <c r="D185" t="s">
        <v>6</v>
      </c>
      <c r="E185" t="s">
        <v>8</v>
      </c>
      <c r="F185" t="s">
        <v>6</v>
      </c>
      <c r="G185" t="s">
        <v>6</v>
      </c>
      <c r="J185" s="15" t="s">
        <v>654</v>
      </c>
      <c r="K185" s="5">
        <v>183</v>
      </c>
      <c r="L185" s="8">
        <f t="shared" ref="L185:L248" si="84">COUNTIFS(C185:G185, "joy")</f>
        <v>0</v>
      </c>
      <c r="M185" s="8">
        <f t="shared" ref="M185:M248" si="85">COUNTIFS(C185:G185, "trust")</f>
        <v>0</v>
      </c>
      <c r="N185" s="8">
        <f t="shared" ref="N185:N248" si="86">COUNTIFS(C185:G185, "fear")</f>
        <v>4</v>
      </c>
      <c r="O185" s="8">
        <f t="shared" ref="O185:O248" si="87">COUNTIFS(C185:G185, "surprise")</f>
        <v>0</v>
      </c>
      <c r="P185" s="8">
        <f t="shared" ref="P185:P248" si="88">COUNTIFS(C185:G185, "sadness")</f>
        <v>0</v>
      </c>
      <c r="Q185" s="8">
        <f t="shared" ref="Q185:Q248" si="89">COUNTIFS(C185:G185, "disgust")</f>
        <v>0</v>
      </c>
      <c r="R185" s="8">
        <f t="shared" ref="R185:R248" si="90">COUNTIFS(C185:G185, "anger")</f>
        <v>0</v>
      </c>
      <c r="S185" s="8">
        <f t="shared" ref="S185:S248" si="91">COUNTIFS(C185:G185, "anticipation")</f>
        <v>1</v>
      </c>
      <c r="T185" s="8">
        <f t="shared" ref="T185:T248" si="92">COUNTIFS(C185:G185, "AMBIGUOUS")</f>
        <v>0</v>
      </c>
      <c r="V185" s="8">
        <f t="shared" si="80"/>
        <v>4</v>
      </c>
      <c r="W185">
        <f t="shared" si="81"/>
        <v>1</v>
      </c>
      <c r="Y185" t="str">
        <f t="shared" ref="Y185:Y248" si="93">INDEX($L$2:$T$2,MATCH(MAX(L185:T185),L185:T185,0))</f>
        <v>fear</v>
      </c>
    </row>
    <row r="186" spans="2:25" x14ac:dyDescent="0.25">
      <c r="B186" s="5">
        <v>184</v>
      </c>
      <c r="C186" t="s">
        <v>8</v>
      </c>
      <c r="D186" t="s">
        <v>8</v>
      </c>
      <c r="E186" t="s">
        <v>2</v>
      </c>
      <c r="F186" t="s">
        <v>8</v>
      </c>
      <c r="G186" t="s">
        <v>6</v>
      </c>
      <c r="J186" s="15">
        <v>1</v>
      </c>
      <c r="K186" s="5">
        <v>184</v>
      </c>
      <c r="L186" s="8">
        <f t="shared" si="84"/>
        <v>0</v>
      </c>
      <c r="M186" s="8">
        <f t="shared" si="85"/>
        <v>0</v>
      </c>
      <c r="N186" s="8">
        <f t="shared" si="86"/>
        <v>1</v>
      </c>
      <c r="O186" s="8">
        <f t="shared" si="87"/>
        <v>0</v>
      </c>
      <c r="P186" s="8">
        <f t="shared" si="88"/>
        <v>0</v>
      </c>
      <c r="Q186" s="8">
        <f t="shared" si="89"/>
        <v>0</v>
      </c>
      <c r="R186" s="8">
        <f t="shared" si="90"/>
        <v>0</v>
      </c>
      <c r="S186" s="8">
        <f t="shared" si="91"/>
        <v>3</v>
      </c>
      <c r="T186" s="8">
        <f t="shared" si="92"/>
        <v>1</v>
      </c>
      <c r="V186" s="8">
        <f t="shared" si="80"/>
        <v>3</v>
      </c>
      <c r="W186">
        <f t="shared" si="81"/>
        <v>1</v>
      </c>
      <c r="Y186" t="str">
        <f t="shared" si="93"/>
        <v>anticipation</v>
      </c>
    </row>
    <row r="187" spans="2:25" x14ac:dyDescent="0.25">
      <c r="B187" s="5">
        <v>185</v>
      </c>
      <c r="C187" t="s">
        <v>8</v>
      </c>
      <c r="D187" t="s">
        <v>8</v>
      </c>
      <c r="E187" t="s">
        <v>2</v>
      </c>
      <c r="F187" t="s">
        <v>8</v>
      </c>
      <c r="G187" t="s">
        <v>6</v>
      </c>
      <c r="J187" s="15">
        <v>1</v>
      </c>
      <c r="K187" s="5">
        <v>185</v>
      </c>
      <c r="L187" s="8">
        <f t="shared" si="84"/>
        <v>0</v>
      </c>
      <c r="M187" s="8">
        <f t="shared" si="85"/>
        <v>0</v>
      </c>
      <c r="N187" s="8">
        <f t="shared" si="86"/>
        <v>1</v>
      </c>
      <c r="O187" s="8">
        <f t="shared" si="87"/>
        <v>0</v>
      </c>
      <c r="P187" s="8">
        <f t="shared" si="88"/>
        <v>0</v>
      </c>
      <c r="Q187" s="8">
        <f t="shared" si="89"/>
        <v>0</v>
      </c>
      <c r="R187" s="8">
        <f t="shared" si="90"/>
        <v>0</v>
      </c>
      <c r="S187" s="8">
        <f t="shared" si="91"/>
        <v>3</v>
      </c>
      <c r="T187" s="8">
        <f t="shared" si="92"/>
        <v>1</v>
      </c>
      <c r="V187" s="8">
        <f t="shared" si="80"/>
        <v>3</v>
      </c>
      <c r="W187">
        <f t="shared" si="81"/>
        <v>1</v>
      </c>
      <c r="Y187" t="str">
        <f t="shared" si="93"/>
        <v>anticipation</v>
      </c>
    </row>
    <row r="188" spans="2:25" x14ac:dyDescent="0.25">
      <c r="B188" s="5">
        <v>186</v>
      </c>
      <c r="C188" t="s">
        <v>6</v>
      </c>
      <c r="D188" t="s">
        <v>3</v>
      </c>
      <c r="E188" t="s">
        <v>3</v>
      </c>
      <c r="F188" t="s">
        <v>3</v>
      </c>
      <c r="G188" t="s">
        <v>1</v>
      </c>
      <c r="J188" s="15">
        <v>1</v>
      </c>
      <c r="K188" s="5">
        <v>186</v>
      </c>
      <c r="L188" s="8">
        <f t="shared" si="84"/>
        <v>3</v>
      </c>
      <c r="M188" s="8">
        <f t="shared" si="85"/>
        <v>1</v>
      </c>
      <c r="N188" s="8">
        <f t="shared" si="86"/>
        <v>1</v>
      </c>
      <c r="O188" s="8">
        <f t="shared" si="87"/>
        <v>0</v>
      </c>
      <c r="P188" s="8">
        <f t="shared" si="88"/>
        <v>0</v>
      </c>
      <c r="Q188" s="8">
        <f t="shared" si="89"/>
        <v>0</v>
      </c>
      <c r="R188" s="8">
        <f t="shared" si="90"/>
        <v>0</v>
      </c>
      <c r="S188" s="8">
        <f t="shared" si="91"/>
        <v>0</v>
      </c>
      <c r="T188" s="8">
        <f t="shared" si="92"/>
        <v>0</v>
      </c>
      <c r="V188" s="8">
        <f t="shared" si="80"/>
        <v>3</v>
      </c>
      <c r="W188">
        <f t="shared" si="81"/>
        <v>1</v>
      </c>
      <c r="Y188" t="str">
        <f t="shared" si="93"/>
        <v>joy</v>
      </c>
    </row>
    <row r="189" spans="2:25" x14ac:dyDescent="0.25">
      <c r="B189" s="5">
        <v>187</v>
      </c>
      <c r="C189" t="s">
        <v>3</v>
      </c>
      <c r="D189" t="s">
        <v>3</v>
      </c>
      <c r="E189" t="s">
        <v>3</v>
      </c>
      <c r="F189" t="s">
        <v>3</v>
      </c>
      <c r="G189" t="s">
        <v>1</v>
      </c>
      <c r="J189" s="15" t="s">
        <v>654</v>
      </c>
      <c r="K189" s="5">
        <v>187</v>
      </c>
      <c r="L189" s="8">
        <f t="shared" si="84"/>
        <v>4</v>
      </c>
      <c r="M189" s="8">
        <f t="shared" si="85"/>
        <v>1</v>
      </c>
      <c r="N189" s="8">
        <f t="shared" si="86"/>
        <v>0</v>
      </c>
      <c r="O189" s="8">
        <f t="shared" si="87"/>
        <v>0</v>
      </c>
      <c r="P189" s="8">
        <f t="shared" si="88"/>
        <v>0</v>
      </c>
      <c r="Q189" s="8">
        <f t="shared" si="89"/>
        <v>0</v>
      </c>
      <c r="R189" s="8">
        <f t="shared" si="90"/>
        <v>0</v>
      </c>
      <c r="S189" s="8">
        <f t="shared" si="91"/>
        <v>0</v>
      </c>
      <c r="T189" s="8">
        <f t="shared" si="92"/>
        <v>0</v>
      </c>
      <c r="V189" s="8">
        <f t="shared" si="80"/>
        <v>4</v>
      </c>
      <c r="W189">
        <f t="shared" si="81"/>
        <v>1</v>
      </c>
      <c r="Y189" t="str">
        <f t="shared" si="93"/>
        <v>joy</v>
      </c>
    </row>
    <row r="190" spans="2:25" x14ac:dyDescent="0.25">
      <c r="B190" s="5">
        <v>188</v>
      </c>
      <c r="C190" t="s">
        <v>0</v>
      </c>
      <c r="D190" t="s">
        <v>6</v>
      </c>
      <c r="E190" t="s">
        <v>6</v>
      </c>
      <c r="F190" t="s">
        <v>6</v>
      </c>
      <c r="G190" t="s">
        <v>6</v>
      </c>
      <c r="J190" s="15" t="s">
        <v>654</v>
      </c>
      <c r="K190" s="5">
        <v>188</v>
      </c>
      <c r="L190" s="8">
        <f t="shared" si="84"/>
        <v>0</v>
      </c>
      <c r="M190" s="8">
        <f t="shared" si="85"/>
        <v>0</v>
      </c>
      <c r="N190" s="8">
        <f t="shared" si="86"/>
        <v>4</v>
      </c>
      <c r="O190" s="8">
        <f t="shared" si="87"/>
        <v>0</v>
      </c>
      <c r="P190" s="8">
        <f t="shared" si="88"/>
        <v>0</v>
      </c>
      <c r="Q190" s="8">
        <f t="shared" si="89"/>
        <v>1</v>
      </c>
      <c r="R190" s="8">
        <f t="shared" si="90"/>
        <v>0</v>
      </c>
      <c r="S190" s="8">
        <f t="shared" si="91"/>
        <v>0</v>
      </c>
      <c r="T190" s="8">
        <f t="shared" si="92"/>
        <v>0</v>
      </c>
      <c r="V190" s="8">
        <f t="shared" si="80"/>
        <v>4</v>
      </c>
      <c r="W190">
        <f t="shared" si="81"/>
        <v>1</v>
      </c>
      <c r="Y190" t="str">
        <f t="shared" si="93"/>
        <v>fear</v>
      </c>
    </row>
    <row r="191" spans="2:25" x14ac:dyDescent="0.25">
      <c r="B191" s="5">
        <v>189</v>
      </c>
      <c r="C191" t="s">
        <v>8</v>
      </c>
      <c r="D191" t="s">
        <v>8</v>
      </c>
      <c r="E191" t="s">
        <v>3</v>
      </c>
      <c r="F191" t="s">
        <v>8</v>
      </c>
      <c r="G191" t="s">
        <v>1</v>
      </c>
      <c r="J191" s="15">
        <v>1</v>
      </c>
      <c r="K191" s="5">
        <v>189</v>
      </c>
      <c r="L191" s="8">
        <f t="shared" si="84"/>
        <v>1</v>
      </c>
      <c r="M191" s="8">
        <f t="shared" si="85"/>
        <v>1</v>
      </c>
      <c r="N191" s="8">
        <f t="shared" si="86"/>
        <v>0</v>
      </c>
      <c r="O191" s="8">
        <f t="shared" si="87"/>
        <v>0</v>
      </c>
      <c r="P191" s="8">
        <f t="shared" si="88"/>
        <v>0</v>
      </c>
      <c r="Q191" s="8">
        <f t="shared" si="89"/>
        <v>0</v>
      </c>
      <c r="R191" s="8">
        <f t="shared" si="90"/>
        <v>0</v>
      </c>
      <c r="S191" s="8">
        <f t="shared" si="91"/>
        <v>3</v>
      </c>
      <c r="T191" s="8">
        <f t="shared" si="92"/>
        <v>0</v>
      </c>
      <c r="V191" s="8">
        <f t="shared" si="80"/>
        <v>3</v>
      </c>
      <c r="W191">
        <f t="shared" si="81"/>
        <v>1</v>
      </c>
      <c r="Y191" t="str">
        <f t="shared" si="93"/>
        <v>anticipation</v>
      </c>
    </row>
    <row r="192" spans="2:25" x14ac:dyDescent="0.25">
      <c r="B192" s="5">
        <v>190</v>
      </c>
      <c r="C192" t="s">
        <v>5</v>
      </c>
      <c r="D192" t="s">
        <v>1</v>
      </c>
      <c r="E192" t="s">
        <v>3</v>
      </c>
      <c r="F192" t="s">
        <v>1</v>
      </c>
      <c r="G192" t="s">
        <v>1</v>
      </c>
      <c r="J192" s="15">
        <v>1</v>
      </c>
      <c r="K192" s="5">
        <v>190</v>
      </c>
      <c r="L192" s="8">
        <f t="shared" si="84"/>
        <v>1</v>
      </c>
      <c r="M192" s="8">
        <f t="shared" si="85"/>
        <v>3</v>
      </c>
      <c r="N192" s="8">
        <f t="shared" si="86"/>
        <v>0</v>
      </c>
      <c r="O192" s="8">
        <f t="shared" si="87"/>
        <v>0</v>
      </c>
      <c r="P192" s="8">
        <f t="shared" si="88"/>
        <v>1</v>
      </c>
      <c r="Q192" s="8">
        <f t="shared" si="89"/>
        <v>0</v>
      </c>
      <c r="R192" s="8">
        <f t="shared" si="90"/>
        <v>0</v>
      </c>
      <c r="S192" s="8">
        <f t="shared" si="91"/>
        <v>0</v>
      </c>
      <c r="T192" s="8">
        <f t="shared" si="92"/>
        <v>0</v>
      </c>
      <c r="V192" s="8">
        <f t="shared" si="80"/>
        <v>3</v>
      </c>
      <c r="W192">
        <f t="shared" si="81"/>
        <v>1</v>
      </c>
      <c r="Y192" t="str">
        <f t="shared" si="93"/>
        <v>trust</v>
      </c>
    </row>
    <row r="193" spans="2:25" x14ac:dyDescent="0.25">
      <c r="B193" s="5">
        <v>191</v>
      </c>
      <c r="C193" t="s">
        <v>3</v>
      </c>
      <c r="D193" t="s">
        <v>3</v>
      </c>
      <c r="E193" t="s">
        <v>3</v>
      </c>
      <c r="F193" t="s">
        <v>3</v>
      </c>
      <c r="G193" t="s">
        <v>2</v>
      </c>
      <c r="J193" s="15" t="s">
        <v>654</v>
      </c>
      <c r="K193" s="5">
        <v>191</v>
      </c>
      <c r="L193" s="8">
        <f t="shared" si="84"/>
        <v>4</v>
      </c>
      <c r="M193" s="8">
        <f t="shared" si="85"/>
        <v>0</v>
      </c>
      <c r="N193" s="8">
        <f t="shared" si="86"/>
        <v>0</v>
      </c>
      <c r="O193" s="8">
        <f t="shared" si="87"/>
        <v>0</v>
      </c>
      <c r="P193" s="8">
        <f t="shared" si="88"/>
        <v>0</v>
      </c>
      <c r="Q193" s="8">
        <f t="shared" si="89"/>
        <v>0</v>
      </c>
      <c r="R193" s="8">
        <f t="shared" si="90"/>
        <v>0</v>
      </c>
      <c r="S193" s="8">
        <f t="shared" si="91"/>
        <v>0</v>
      </c>
      <c r="T193" s="8">
        <f t="shared" si="92"/>
        <v>1</v>
      </c>
      <c r="V193" s="8">
        <f t="shared" si="80"/>
        <v>4</v>
      </c>
      <c r="W193">
        <f t="shared" si="81"/>
        <v>1</v>
      </c>
      <c r="Y193" t="str">
        <f t="shared" si="93"/>
        <v>joy</v>
      </c>
    </row>
    <row r="194" spans="2:25" x14ac:dyDescent="0.25">
      <c r="B194" s="5">
        <v>192</v>
      </c>
      <c r="C194" t="s">
        <v>8</v>
      </c>
      <c r="D194" t="s">
        <v>7</v>
      </c>
      <c r="E194" t="s">
        <v>1</v>
      </c>
      <c r="F194" t="s">
        <v>7</v>
      </c>
      <c r="G194" t="s">
        <v>7</v>
      </c>
      <c r="J194" s="15">
        <v>1</v>
      </c>
      <c r="K194" s="5">
        <v>192</v>
      </c>
      <c r="L194" s="8">
        <f t="shared" si="84"/>
        <v>0</v>
      </c>
      <c r="M194" s="8">
        <f t="shared" si="85"/>
        <v>1</v>
      </c>
      <c r="N194" s="8">
        <f t="shared" si="86"/>
        <v>0</v>
      </c>
      <c r="O194" s="8">
        <f t="shared" si="87"/>
        <v>3</v>
      </c>
      <c r="P194" s="8">
        <f t="shared" si="88"/>
        <v>0</v>
      </c>
      <c r="Q194" s="8">
        <f t="shared" si="89"/>
        <v>0</v>
      </c>
      <c r="R194" s="8">
        <f t="shared" si="90"/>
        <v>0</v>
      </c>
      <c r="S194" s="8">
        <f t="shared" si="91"/>
        <v>1</v>
      </c>
      <c r="T194" s="8">
        <f t="shared" si="92"/>
        <v>0</v>
      </c>
      <c r="V194" s="8">
        <f t="shared" si="80"/>
        <v>3</v>
      </c>
      <c r="W194">
        <f t="shared" si="81"/>
        <v>1</v>
      </c>
      <c r="Y194" t="str">
        <f t="shared" si="93"/>
        <v>surprise</v>
      </c>
    </row>
    <row r="195" spans="2:25" x14ac:dyDescent="0.25">
      <c r="B195" s="5">
        <v>193</v>
      </c>
      <c r="C195" t="s">
        <v>8</v>
      </c>
      <c r="D195" t="s">
        <v>2</v>
      </c>
      <c r="E195" t="s">
        <v>2</v>
      </c>
      <c r="F195" t="s">
        <v>2</v>
      </c>
      <c r="G195" t="s">
        <v>2</v>
      </c>
      <c r="J195" s="15" t="s">
        <v>654</v>
      </c>
      <c r="K195" s="5">
        <v>193</v>
      </c>
      <c r="L195" s="8">
        <f t="shared" si="84"/>
        <v>0</v>
      </c>
      <c r="M195" s="8">
        <f t="shared" si="85"/>
        <v>0</v>
      </c>
      <c r="N195" s="8">
        <f t="shared" si="86"/>
        <v>0</v>
      </c>
      <c r="O195" s="8">
        <f t="shared" si="87"/>
        <v>0</v>
      </c>
      <c r="P195" s="8">
        <f t="shared" si="88"/>
        <v>0</v>
      </c>
      <c r="Q195" s="8">
        <f t="shared" si="89"/>
        <v>0</v>
      </c>
      <c r="R195" s="8">
        <f t="shared" si="90"/>
        <v>0</v>
      </c>
      <c r="S195" s="8">
        <f t="shared" si="91"/>
        <v>1</v>
      </c>
      <c r="T195" s="8">
        <f t="shared" si="92"/>
        <v>4</v>
      </c>
      <c r="V195" s="8">
        <f t="shared" si="80"/>
        <v>4</v>
      </c>
      <c r="W195">
        <f t="shared" si="81"/>
        <v>1</v>
      </c>
      <c r="Y195" t="str">
        <f t="shared" si="93"/>
        <v>AMBIGUOUS</v>
      </c>
    </row>
    <row r="196" spans="2:25" x14ac:dyDescent="0.25">
      <c r="B196" s="5">
        <v>194</v>
      </c>
      <c r="C196" t="s">
        <v>8</v>
      </c>
      <c r="D196" t="s">
        <v>8</v>
      </c>
      <c r="E196" t="s">
        <v>6</v>
      </c>
      <c r="F196" t="s">
        <v>8</v>
      </c>
      <c r="G196" t="s">
        <v>2</v>
      </c>
      <c r="J196" s="15">
        <v>1</v>
      </c>
      <c r="K196" s="5">
        <v>194</v>
      </c>
      <c r="L196" s="8">
        <f t="shared" si="84"/>
        <v>0</v>
      </c>
      <c r="M196" s="8">
        <f t="shared" si="85"/>
        <v>0</v>
      </c>
      <c r="N196" s="8">
        <f t="shared" si="86"/>
        <v>1</v>
      </c>
      <c r="O196" s="8">
        <f t="shared" si="87"/>
        <v>0</v>
      </c>
      <c r="P196" s="8">
        <f t="shared" si="88"/>
        <v>0</v>
      </c>
      <c r="Q196" s="8">
        <f t="shared" si="89"/>
        <v>0</v>
      </c>
      <c r="R196" s="8">
        <f t="shared" si="90"/>
        <v>0</v>
      </c>
      <c r="S196" s="8">
        <f t="shared" si="91"/>
        <v>3</v>
      </c>
      <c r="T196" s="8">
        <f t="shared" si="92"/>
        <v>1</v>
      </c>
      <c r="V196" s="8">
        <f t="shared" ref="V196:V201" si="94">MAX(L196:T196)</f>
        <v>3</v>
      </c>
      <c r="W196">
        <f t="shared" ref="W196:W201" si="95">COUNTIF(L196:T196, "=" &amp; V196)</f>
        <v>1</v>
      </c>
      <c r="Y196" t="str">
        <f t="shared" si="93"/>
        <v>anticipation</v>
      </c>
    </row>
    <row r="197" spans="2:25" x14ac:dyDescent="0.25">
      <c r="B197" s="5">
        <v>195</v>
      </c>
      <c r="C197" t="s">
        <v>3</v>
      </c>
      <c r="D197" t="s">
        <v>3</v>
      </c>
      <c r="E197" t="s">
        <v>5</v>
      </c>
      <c r="F197" t="s">
        <v>3</v>
      </c>
      <c r="G197" t="s">
        <v>7</v>
      </c>
      <c r="J197" s="15">
        <v>1</v>
      </c>
      <c r="K197" s="5">
        <v>195</v>
      </c>
      <c r="L197" s="8">
        <f t="shared" si="84"/>
        <v>3</v>
      </c>
      <c r="M197" s="8">
        <f t="shared" si="85"/>
        <v>0</v>
      </c>
      <c r="N197" s="8">
        <f t="shared" si="86"/>
        <v>0</v>
      </c>
      <c r="O197" s="8">
        <f t="shared" si="87"/>
        <v>1</v>
      </c>
      <c r="P197" s="8">
        <f t="shared" si="88"/>
        <v>1</v>
      </c>
      <c r="Q197" s="8">
        <f t="shared" si="89"/>
        <v>0</v>
      </c>
      <c r="R197" s="8">
        <f t="shared" si="90"/>
        <v>0</v>
      </c>
      <c r="S197" s="8">
        <f t="shared" si="91"/>
        <v>0</v>
      </c>
      <c r="T197" s="8">
        <f t="shared" si="92"/>
        <v>0</v>
      </c>
      <c r="V197" s="8">
        <f t="shared" si="94"/>
        <v>3</v>
      </c>
      <c r="W197">
        <f t="shared" si="95"/>
        <v>1</v>
      </c>
      <c r="Y197" t="str">
        <f t="shared" si="93"/>
        <v>joy</v>
      </c>
    </row>
    <row r="198" spans="2:25" x14ac:dyDescent="0.25">
      <c r="B198" s="5">
        <v>196</v>
      </c>
      <c r="C198" t="s">
        <v>0</v>
      </c>
      <c r="D198" t="s">
        <v>0</v>
      </c>
      <c r="E198" t="s">
        <v>6</v>
      </c>
      <c r="F198" t="s">
        <v>0</v>
      </c>
      <c r="G198" t="s">
        <v>1</v>
      </c>
      <c r="J198" s="15">
        <v>1</v>
      </c>
      <c r="K198" s="5">
        <v>196</v>
      </c>
      <c r="L198" s="8">
        <f t="shared" si="84"/>
        <v>0</v>
      </c>
      <c r="M198" s="8">
        <f t="shared" si="85"/>
        <v>1</v>
      </c>
      <c r="N198" s="8">
        <f t="shared" si="86"/>
        <v>1</v>
      </c>
      <c r="O198" s="8">
        <f t="shared" si="87"/>
        <v>0</v>
      </c>
      <c r="P198" s="8">
        <f t="shared" si="88"/>
        <v>0</v>
      </c>
      <c r="Q198" s="8">
        <f t="shared" si="89"/>
        <v>3</v>
      </c>
      <c r="R198" s="8">
        <f t="shared" si="90"/>
        <v>0</v>
      </c>
      <c r="S198" s="8">
        <f t="shared" si="91"/>
        <v>0</v>
      </c>
      <c r="T198" s="8">
        <f t="shared" si="92"/>
        <v>0</v>
      </c>
      <c r="V198" s="8">
        <f t="shared" si="94"/>
        <v>3</v>
      </c>
      <c r="W198">
        <f t="shared" si="95"/>
        <v>1</v>
      </c>
      <c r="Y198" t="str">
        <f t="shared" si="93"/>
        <v>disgust</v>
      </c>
    </row>
    <row r="199" spans="2:25" x14ac:dyDescent="0.25">
      <c r="B199" s="5">
        <v>197</v>
      </c>
      <c r="C199" t="s">
        <v>1</v>
      </c>
      <c r="D199" t="s">
        <v>1</v>
      </c>
      <c r="E199" t="s">
        <v>5</v>
      </c>
      <c r="F199" t="s">
        <v>1</v>
      </c>
      <c r="G199" t="s">
        <v>6</v>
      </c>
      <c r="J199" s="15">
        <v>1</v>
      </c>
      <c r="K199" s="5">
        <v>197</v>
      </c>
      <c r="L199" s="8">
        <f t="shared" si="84"/>
        <v>0</v>
      </c>
      <c r="M199" s="8">
        <f t="shared" si="85"/>
        <v>3</v>
      </c>
      <c r="N199" s="8">
        <f t="shared" si="86"/>
        <v>1</v>
      </c>
      <c r="O199" s="8">
        <f t="shared" si="87"/>
        <v>0</v>
      </c>
      <c r="P199" s="8">
        <f t="shared" si="88"/>
        <v>1</v>
      </c>
      <c r="Q199" s="8">
        <f t="shared" si="89"/>
        <v>0</v>
      </c>
      <c r="R199" s="8">
        <f t="shared" si="90"/>
        <v>0</v>
      </c>
      <c r="S199" s="8">
        <f t="shared" si="91"/>
        <v>0</v>
      </c>
      <c r="T199" s="8">
        <f t="shared" si="92"/>
        <v>0</v>
      </c>
      <c r="V199" s="8">
        <f t="shared" si="94"/>
        <v>3</v>
      </c>
      <c r="W199">
        <f t="shared" si="95"/>
        <v>1</v>
      </c>
      <c r="Y199" t="str">
        <f t="shared" si="93"/>
        <v>trust</v>
      </c>
    </row>
    <row r="200" spans="2:25" x14ac:dyDescent="0.25">
      <c r="B200" s="5">
        <v>198</v>
      </c>
      <c r="C200" t="s">
        <v>1</v>
      </c>
      <c r="D200" t="s">
        <v>8</v>
      </c>
      <c r="E200" t="s">
        <v>8</v>
      </c>
      <c r="F200" t="s">
        <v>8</v>
      </c>
      <c r="G200" t="s">
        <v>3</v>
      </c>
      <c r="J200" s="15">
        <v>1</v>
      </c>
      <c r="K200" s="5">
        <v>198</v>
      </c>
      <c r="L200" s="8">
        <f t="shared" si="84"/>
        <v>1</v>
      </c>
      <c r="M200" s="8">
        <f t="shared" si="85"/>
        <v>1</v>
      </c>
      <c r="N200" s="8">
        <f t="shared" si="86"/>
        <v>0</v>
      </c>
      <c r="O200" s="8">
        <f t="shared" si="87"/>
        <v>0</v>
      </c>
      <c r="P200" s="8">
        <f t="shared" si="88"/>
        <v>0</v>
      </c>
      <c r="Q200" s="8">
        <f t="shared" si="89"/>
        <v>0</v>
      </c>
      <c r="R200" s="8">
        <f t="shared" si="90"/>
        <v>0</v>
      </c>
      <c r="S200" s="8">
        <f t="shared" si="91"/>
        <v>3</v>
      </c>
      <c r="T200" s="8">
        <f t="shared" si="92"/>
        <v>0</v>
      </c>
      <c r="V200" s="8">
        <f t="shared" si="94"/>
        <v>3</v>
      </c>
      <c r="W200">
        <f t="shared" si="95"/>
        <v>1</v>
      </c>
      <c r="Y200" t="str">
        <f t="shared" si="93"/>
        <v>anticipation</v>
      </c>
    </row>
    <row r="201" spans="2:25" x14ac:dyDescent="0.25">
      <c r="B201" s="5">
        <v>199</v>
      </c>
      <c r="C201" t="s">
        <v>3</v>
      </c>
      <c r="D201" t="s">
        <v>2</v>
      </c>
      <c r="E201" t="s">
        <v>2</v>
      </c>
      <c r="F201" t="s">
        <v>2</v>
      </c>
      <c r="G201" t="s">
        <v>6</v>
      </c>
      <c r="J201" s="15">
        <v>1</v>
      </c>
      <c r="K201" s="5">
        <v>199</v>
      </c>
      <c r="L201" s="8">
        <f t="shared" si="84"/>
        <v>1</v>
      </c>
      <c r="M201" s="8">
        <f t="shared" si="85"/>
        <v>0</v>
      </c>
      <c r="N201" s="8">
        <f t="shared" si="86"/>
        <v>1</v>
      </c>
      <c r="O201" s="8">
        <f t="shared" si="87"/>
        <v>0</v>
      </c>
      <c r="P201" s="8">
        <f t="shared" si="88"/>
        <v>0</v>
      </c>
      <c r="Q201" s="8">
        <f t="shared" si="89"/>
        <v>0</v>
      </c>
      <c r="R201" s="8">
        <f t="shared" si="90"/>
        <v>0</v>
      </c>
      <c r="S201" s="8">
        <f t="shared" si="91"/>
        <v>0</v>
      </c>
      <c r="T201" s="8">
        <f t="shared" si="92"/>
        <v>3</v>
      </c>
      <c r="V201" s="8">
        <f t="shared" si="94"/>
        <v>3</v>
      </c>
      <c r="W201">
        <f t="shared" si="95"/>
        <v>1</v>
      </c>
      <c r="Y201" t="str">
        <f t="shared" si="93"/>
        <v>AMBIGUOUS</v>
      </c>
    </row>
    <row r="202" spans="2:25" x14ac:dyDescent="0.25">
      <c r="B202" s="5">
        <v>200</v>
      </c>
      <c r="C202" t="s">
        <v>5</v>
      </c>
      <c r="D202" t="s">
        <v>6</v>
      </c>
      <c r="E202" t="s">
        <v>6</v>
      </c>
      <c r="F202" t="s">
        <v>6</v>
      </c>
      <c r="G202" t="s">
        <v>6</v>
      </c>
      <c r="J202" s="15" t="s">
        <v>654</v>
      </c>
      <c r="K202" s="5">
        <v>200</v>
      </c>
      <c r="L202" s="8">
        <f t="shared" si="84"/>
        <v>0</v>
      </c>
      <c r="M202" s="8">
        <f t="shared" si="85"/>
        <v>0</v>
      </c>
      <c r="N202" s="8">
        <f t="shared" si="86"/>
        <v>4</v>
      </c>
      <c r="O202" s="8">
        <f t="shared" si="87"/>
        <v>0</v>
      </c>
      <c r="P202" s="8">
        <f t="shared" si="88"/>
        <v>1</v>
      </c>
      <c r="Q202" s="8">
        <f t="shared" si="89"/>
        <v>0</v>
      </c>
      <c r="R202" s="8">
        <f t="shared" si="90"/>
        <v>0</v>
      </c>
      <c r="S202" s="8">
        <f t="shared" si="91"/>
        <v>0</v>
      </c>
      <c r="T202" s="8">
        <f t="shared" si="92"/>
        <v>0</v>
      </c>
      <c r="V202" s="8">
        <f t="shared" ref="V202:V265" si="96">MAX(L202:T202)</f>
        <v>4</v>
      </c>
      <c r="W202">
        <f t="shared" ref="W202:W265" si="97">COUNTIF(L202:T202, "=" &amp; V202)</f>
        <v>1</v>
      </c>
      <c r="Y202" t="str">
        <f t="shared" si="93"/>
        <v>fear</v>
      </c>
    </row>
    <row r="203" spans="2:25" x14ac:dyDescent="0.25">
      <c r="B203" s="5">
        <v>201</v>
      </c>
      <c r="C203" t="s">
        <v>0</v>
      </c>
      <c r="D203" t="s">
        <v>0</v>
      </c>
      <c r="E203" t="s">
        <v>0</v>
      </c>
      <c r="F203" t="s">
        <v>0</v>
      </c>
      <c r="G203" t="s">
        <v>6</v>
      </c>
      <c r="J203" s="15" t="s">
        <v>654</v>
      </c>
      <c r="K203" s="5">
        <v>201</v>
      </c>
      <c r="L203" s="8">
        <f t="shared" si="84"/>
        <v>0</v>
      </c>
      <c r="M203" s="8">
        <f t="shared" si="85"/>
        <v>0</v>
      </c>
      <c r="N203" s="8">
        <f t="shared" si="86"/>
        <v>1</v>
      </c>
      <c r="O203" s="8">
        <f t="shared" si="87"/>
        <v>0</v>
      </c>
      <c r="P203" s="8">
        <f t="shared" si="88"/>
        <v>0</v>
      </c>
      <c r="Q203" s="8">
        <f t="shared" si="89"/>
        <v>4</v>
      </c>
      <c r="R203" s="8">
        <f t="shared" si="90"/>
        <v>0</v>
      </c>
      <c r="S203" s="8">
        <f t="shared" si="91"/>
        <v>0</v>
      </c>
      <c r="T203" s="8">
        <f t="shared" si="92"/>
        <v>0</v>
      </c>
      <c r="V203" s="8">
        <f t="shared" si="96"/>
        <v>4</v>
      </c>
      <c r="W203">
        <f t="shared" si="97"/>
        <v>1</v>
      </c>
      <c r="Y203" t="str">
        <f t="shared" si="93"/>
        <v>disgust</v>
      </c>
    </row>
    <row r="204" spans="2:25" x14ac:dyDescent="0.25">
      <c r="B204" s="5">
        <v>202</v>
      </c>
      <c r="C204" t="s">
        <v>8</v>
      </c>
      <c r="D204" t="s">
        <v>6</v>
      </c>
      <c r="E204" t="s">
        <v>6</v>
      </c>
      <c r="F204" t="s">
        <v>6</v>
      </c>
      <c r="G204" t="s">
        <v>6</v>
      </c>
      <c r="J204" s="15" t="s">
        <v>654</v>
      </c>
      <c r="K204" s="5">
        <v>202</v>
      </c>
      <c r="L204" s="8">
        <f t="shared" si="84"/>
        <v>0</v>
      </c>
      <c r="M204" s="8">
        <f t="shared" si="85"/>
        <v>0</v>
      </c>
      <c r="N204" s="8">
        <f t="shared" si="86"/>
        <v>4</v>
      </c>
      <c r="O204" s="8">
        <f t="shared" si="87"/>
        <v>0</v>
      </c>
      <c r="P204" s="8">
        <f t="shared" si="88"/>
        <v>0</v>
      </c>
      <c r="Q204" s="8">
        <f t="shared" si="89"/>
        <v>0</v>
      </c>
      <c r="R204" s="8">
        <f t="shared" si="90"/>
        <v>0</v>
      </c>
      <c r="S204" s="8">
        <f t="shared" si="91"/>
        <v>1</v>
      </c>
      <c r="T204" s="8">
        <f t="shared" si="92"/>
        <v>0</v>
      </c>
      <c r="V204" s="8">
        <f t="shared" si="96"/>
        <v>4</v>
      </c>
      <c r="W204">
        <f t="shared" si="97"/>
        <v>1</v>
      </c>
      <c r="Y204" t="str">
        <f t="shared" si="93"/>
        <v>fear</v>
      </c>
    </row>
    <row r="205" spans="2:25" x14ac:dyDescent="0.25">
      <c r="B205" s="5">
        <v>203</v>
      </c>
      <c r="C205" t="s">
        <v>3</v>
      </c>
      <c r="D205" t="s">
        <v>3</v>
      </c>
      <c r="E205" t="s">
        <v>8</v>
      </c>
      <c r="F205" t="s">
        <v>3</v>
      </c>
      <c r="G205" t="s">
        <v>3</v>
      </c>
      <c r="J205" s="15" t="s">
        <v>654</v>
      </c>
      <c r="K205" s="5">
        <v>203</v>
      </c>
      <c r="L205" s="8">
        <f t="shared" si="84"/>
        <v>4</v>
      </c>
      <c r="M205" s="8">
        <f t="shared" si="85"/>
        <v>0</v>
      </c>
      <c r="N205" s="8">
        <f t="shared" si="86"/>
        <v>0</v>
      </c>
      <c r="O205" s="8">
        <f t="shared" si="87"/>
        <v>0</v>
      </c>
      <c r="P205" s="8">
        <f t="shared" si="88"/>
        <v>0</v>
      </c>
      <c r="Q205" s="8">
        <f t="shared" si="89"/>
        <v>0</v>
      </c>
      <c r="R205" s="8">
        <f t="shared" si="90"/>
        <v>0</v>
      </c>
      <c r="S205" s="8">
        <f t="shared" si="91"/>
        <v>1</v>
      </c>
      <c r="T205" s="8">
        <f t="shared" si="92"/>
        <v>0</v>
      </c>
      <c r="V205" s="8">
        <f t="shared" si="96"/>
        <v>4</v>
      </c>
      <c r="W205">
        <f t="shared" si="97"/>
        <v>1</v>
      </c>
      <c r="Y205" t="str">
        <f t="shared" si="93"/>
        <v>joy</v>
      </c>
    </row>
    <row r="206" spans="2:25" x14ac:dyDescent="0.25">
      <c r="B206" s="5">
        <v>204</v>
      </c>
      <c r="C206" t="s">
        <v>0</v>
      </c>
      <c r="D206" t="s">
        <v>3</v>
      </c>
      <c r="E206" t="s">
        <v>3</v>
      </c>
      <c r="F206" t="s">
        <v>3</v>
      </c>
      <c r="G206" t="s">
        <v>6</v>
      </c>
      <c r="J206" s="15">
        <v>1</v>
      </c>
      <c r="K206" s="5">
        <v>204</v>
      </c>
      <c r="L206" s="8">
        <f t="shared" si="84"/>
        <v>3</v>
      </c>
      <c r="M206" s="8">
        <f t="shared" si="85"/>
        <v>0</v>
      </c>
      <c r="N206" s="8">
        <f t="shared" si="86"/>
        <v>1</v>
      </c>
      <c r="O206" s="8">
        <f t="shared" si="87"/>
        <v>0</v>
      </c>
      <c r="P206" s="8">
        <f t="shared" si="88"/>
        <v>0</v>
      </c>
      <c r="Q206" s="8">
        <f t="shared" si="89"/>
        <v>1</v>
      </c>
      <c r="R206" s="8">
        <f t="shared" si="90"/>
        <v>0</v>
      </c>
      <c r="S206" s="8">
        <f t="shared" si="91"/>
        <v>0</v>
      </c>
      <c r="T206" s="8">
        <f t="shared" si="92"/>
        <v>0</v>
      </c>
      <c r="V206" s="8">
        <f t="shared" si="96"/>
        <v>3</v>
      </c>
      <c r="W206">
        <f t="shared" si="97"/>
        <v>1</v>
      </c>
      <c r="Y206" t="str">
        <f t="shared" si="93"/>
        <v>joy</v>
      </c>
    </row>
    <row r="207" spans="2:25" x14ac:dyDescent="0.25">
      <c r="B207" s="5">
        <v>205</v>
      </c>
      <c r="C207" t="s">
        <v>3</v>
      </c>
      <c r="D207" t="s">
        <v>3</v>
      </c>
      <c r="E207" t="s">
        <v>3</v>
      </c>
      <c r="F207" t="s">
        <v>3</v>
      </c>
      <c r="G207" t="s">
        <v>3</v>
      </c>
      <c r="J207" s="15" t="s">
        <v>654</v>
      </c>
      <c r="K207" s="5">
        <v>205</v>
      </c>
      <c r="L207" s="8">
        <f t="shared" si="84"/>
        <v>5</v>
      </c>
      <c r="M207" s="8">
        <f t="shared" si="85"/>
        <v>0</v>
      </c>
      <c r="N207" s="8">
        <f t="shared" si="86"/>
        <v>0</v>
      </c>
      <c r="O207" s="8">
        <f t="shared" si="87"/>
        <v>0</v>
      </c>
      <c r="P207" s="8">
        <f t="shared" si="88"/>
        <v>0</v>
      </c>
      <c r="Q207" s="8">
        <f t="shared" si="89"/>
        <v>0</v>
      </c>
      <c r="R207" s="8">
        <f t="shared" si="90"/>
        <v>0</v>
      </c>
      <c r="S207" s="8">
        <f t="shared" si="91"/>
        <v>0</v>
      </c>
      <c r="T207" s="8">
        <f t="shared" si="92"/>
        <v>0</v>
      </c>
      <c r="V207" s="8">
        <f t="shared" si="96"/>
        <v>5</v>
      </c>
      <c r="W207">
        <f t="shared" si="97"/>
        <v>1</v>
      </c>
      <c r="Y207" t="str">
        <f t="shared" si="93"/>
        <v>joy</v>
      </c>
    </row>
    <row r="208" spans="2:25" x14ac:dyDescent="0.25">
      <c r="B208" s="5">
        <v>206</v>
      </c>
      <c r="C208" t="s">
        <v>8</v>
      </c>
      <c r="D208" t="s">
        <v>1</v>
      </c>
      <c r="E208" t="s">
        <v>1</v>
      </c>
      <c r="F208" t="s">
        <v>1</v>
      </c>
      <c r="G208" t="s">
        <v>1</v>
      </c>
      <c r="J208" s="15" t="s">
        <v>654</v>
      </c>
      <c r="K208" s="5">
        <v>206</v>
      </c>
      <c r="L208" s="8">
        <f t="shared" si="84"/>
        <v>0</v>
      </c>
      <c r="M208" s="8">
        <f t="shared" si="85"/>
        <v>4</v>
      </c>
      <c r="N208" s="8">
        <f t="shared" si="86"/>
        <v>0</v>
      </c>
      <c r="O208" s="8">
        <f t="shared" si="87"/>
        <v>0</v>
      </c>
      <c r="P208" s="8">
        <f t="shared" si="88"/>
        <v>0</v>
      </c>
      <c r="Q208" s="8">
        <f t="shared" si="89"/>
        <v>0</v>
      </c>
      <c r="R208" s="8">
        <f t="shared" si="90"/>
        <v>0</v>
      </c>
      <c r="S208" s="8">
        <f t="shared" si="91"/>
        <v>1</v>
      </c>
      <c r="T208" s="8">
        <f t="shared" si="92"/>
        <v>0</v>
      </c>
      <c r="V208" s="8">
        <f t="shared" si="96"/>
        <v>4</v>
      </c>
      <c r="W208">
        <f t="shared" si="97"/>
        <v>1</v>
      </c>
      <c r="Y208" t="str">
        <f t="shared" si="93"/>
        <v>trust</v>
      </c>
    </row>
    <row r="209" spans="2:25" x14ac:dyDescent="0.25">
      <c r="B209" s="5">
        <v>207</v>
      </c>
      <c r="C209" t="s">
        <v>8</v>
      </c>
      <c r="D209" t="s">
        <v>2</v>
      </c>
      <c r="E209" t="s">
        <v>2</v>
      </c>
      <c r="F209" t="s">
        <v>2</v>
      </c>
      <c r="G209" t="s">
        <v>2</v>
      </c>
      <c r="J209" s="15" t="s">
        <v>654</v>
      </c>
      <c r="K209" s="5">
        <v>207</v>
      </c>
      <c r="L209" s="8">
        <f t="shared" si="84"/>
        <v>0</v>
      </c>
      <c r="M209" s="8">
        <f t="shared" si="85"/>
        <v>0</v>
      </c>
      <c r="N209" s="8">
        <f t="shared" si="86"/>
        <v>0</v>
      </c>
      <c r="O209" s="8">
        <f t="shared" si="87"/>
        <v>0</v>
      </c>
      <c r="P209" s="8">
        <f t="shared" si="88"/>
        <v>0</v>
      </c>
      <c r="Q209" s="8">
        <f t="shared" si="89"/>
        <v>0</v>
      </c>
      <c r="R209" s="8">
        <f t="shared" si="90"/>
        <v>0</v>
      </c>
      <c r="S209" s="8">
        <f t="shared" si="91"/>
        <v>1</v>
      </c>
      <c r="T209" s="8">
        <f t="shared" si="92"/>
        <v>4</v>
      </c>
      <c r="V209" s="8">
        <f t="shared" si="96"/>
        <v>4</v>
      </c>
      <c r="W209">
        <f t="shared" si="97"/>
        <v>1</v>
      </c>
      <c r="Y209" t="str">
        <f t="shared" si="93"/>
        <v>AMBIGUOUS</v>
      </c>
    </row>
    <row r="210" spans="2:25" x14ac:dyDescent="0.25">
      <c r="B210" s="5">
        <v>208</v>
      </c>
      <c r="C210" t="s">
        <v>8</v>
      </c>
      <c r="D210" t="s">
        <v>2</v>
      </c>
      <c r="E210" t="s">
        <v>2</v>
      </c>
      <c r="F210" t="s">
        <v>2</v>
      </c>
      <c r="G210" t="s">
        <v>2</v>
      </c>
      <c r="J210" s="15" t="s">
        <v>654</v>
      </c>
      <c r="K210" s="5">
        <v>208</v>
      </c>
      <c r="L210" s="8">
        <f t="shared" si="84"/>
        <v>0</v>
      </c>
      <c r="M210" s="8">
        <f t="shared" si="85"/>
        <v>0</v>
      </c>
      <c r="N210" s="8">
        <f t="shared" si="86"/>
        <v>0</v>
      </c>
      <c r="O210" s="8">
        <f t="shared" si="87"/>
        <v>0</v>
      </c>
      <c r="P210" s="8">
        <f t="shared" si="88"/>
        <v>0</v>
      </c>
      <c r="Q210" s="8">
        <f t="shared" si="89"/>
        <v>0</v>
      </c>
      <c r="R210" s="8">
        <f t="shared" si="90"/>
        <v>0</v>
      </c>
      <c r="S210" s="8">
        <f t="shared" si="91"/>
        <v>1</v>
      </c>
      <c r="T210" s="8">
        <f t="shared" si="92"/>
        <v>4</v>
      </c>
      <c r="V210" s="8">
        <f t="shared" si="96"/>
        <v>4</v>
      </c>
      <c r="W210">
        <f t="shared" si="97"/>
        <v>1</v>
      </c>
      <c r="Y210" t="str">
        <f t="shared" si="93"/>
        <v>AMBIGUOUS</v>
      </c>
    </row>
    <row r="211" spans="2:25" x14ac:dyDescent="0.25">
      <c r="B211" s="5">
        <v>209</v>
      </c>
      <c r="C211" t="s">
        <v>5</v>
      </c>
      <c r="D211" t="s">
        <v>2</v>
      </c>
      <c r="E211" t="s">
        <v>2</v>
      </c>
      <c r="F211" t="s">
        <v>2</v>
      </c>
      <c r="G211" t="s">
        <v>1</v>
      </c>
      <c r="J211" s="15">
        <v>1</v>
      </c>
      <c r="K211" s="5">
        <v>209</v>
      </c>
      <c r="L211" s="8">
        <f t="shared" si="84"/>
        <v>0</v>
      </c>
      <c r="M211" s="8">
        <f t="shared" si="85"/>
        <v>1</v>
      </c>
      <c r="N211" s="8">
        <f t="shared" si="86"/>
        <v>0</v>
      </c>
      <c r="O211" s="8">
        <f t="shared" si="87"/>
        <v>0</v>
      </c>
      <c r="P211" s="8">
        <f t="shared" si="88"/>
        <v>1</v>
      </c>
      <c r="Q211" s="8">
        <f t="shared" si="89"/>
        <v>0</v>
      </c>
      <c r="R211" s="8">
        <f t="shared" si="90"/>
        <v>0</v>
      </c>
      <c r="S211" s="8">
        <f t="shared" si="91"/>
        <v>0</v>
      </c>
      <c r="T211" s="8">
        <f t="shared" si="92"/>
        <v>3</v>
      </c>
      <c r="V211" s="8">
        <f t="shared" si="96"/>
        <v>3</v>
      </c>
      <c r="W211">
        <f t="shared" si="97"/>
        <v>1</v>
      </c>
      <c r="Y211" t="str">
        <f t="shared" si="93"/>
        <v>AMBIGUOUS</v>
      </c>
    </row>
    <row r="212" spans="2:25" x14ac:dyDescent="0.25">
      <c r="B212" s="5">
        <v>210</v>
      </c>
      <c r="C212" t="s">
        <v>1</v>
      </c>
      <c r="D212" t="s">
        <v>1</v>
      </c>
      <c r="E212" t="s">
        <v>3</v>
      </c>
      <c r="F212" t="s">
        <v>1</v>
      </c>
      <c r="G212" t="s">
        <v>1</v>
      </c>
      <c r="J212" s="15" t="s">
        <v>654</v>
      </c>
      <c r="K212" s="5">
        <v>210</v>
      </c>
      <c r="L212" s="8">
        <f t="shared" si="84"/>
        <v>1</v>
      </c>
      <c r="M212" s="8">
        <f t="shared" si="85"/>
        <v>4</v>
      </c>
      <c r="N212" s="8">
        <f t="shared" si="86"/>
        <v>0</v>
      </c>
      <c r="O212" s="8">
        <f t="shared" si="87"/>
        <v>0</v>
      </c>
      <c r="P212" s="8">
        <f t="shared" si="88"/>
        <v>0</v>
      </c>
      <c r="Q212" s="8">
        <f t="shared" si="89"/>
        <v>0</v>
      </c>
      <c r="R212" s="8">
        <f t="shared" si="90"/>
        <v>0</v>
      </c>
      <c r="S212" s="8">
        <f t="shared" si="91"/>
        <v>0</v>
      </c>
      <c r="T212" s="8">
        <f t="shared" si="92"/>
        <v>0</v>
      </c>
      <c r="V212" s="8">
        <f t="shared" si="96"/>
        <v>4</v>
      </c>
      <c r="W212">
        <f t="shared" si="97"/>
        <v>1</v>
      </c>
      <c r="Y212" t="str">
        <f t="shared" si="93"/>
        <v>trust</v>
      </c>
    </row>
    <row r="213" spans="2:25" x14ac:dyDescent="0.25">
      <c r="B213" s="5">
        <v>211</v>
      </c>
      <c r="C213" t="s">
        <v>5</v>
      </c>
      <c r="D213" t="s">
        <v>3</v>
      </c>
      <c r="E213" t="s">
        <v>3</v>
      </c>
      <c r="F213" t="s">
        <v>3</v>
      </c>
      <c r="G213" t="s">
        <v>6</v>
      </c>
      <c r="J213" s="15">
        <v>1</v>
      </c>
      <c r="K213" s="5">
        <v>211</v>
      </c>
      <c r="L213" s="8">
        <f t="shared" si="84"/>
        <v>3</v>
      </c>
      <c r="M213" s="8">
        <f t="shared" si="85"/>
        <v>0</v>
      </c>
      <c r="N213" s="8">
        <f t="shared" si="86"/>
        <v>1</v>
      </c>
      <c r="O213" s="8">
        <f t="shared" si="87"/>
        <v>0</v>
      </c>
      <c r="P213" s="8">
        <f t="shared" si="88"/>
        <v>1</v>
      </c>
      <c r="Q213" s="8">
        <f t="shared" si="89"/>
        <v>0</v>
      </c>
      <c r="R213" s="8">
        <f t="shared" si="90"/>
        <v>0</v>
      </c>
      <c r="S213" s="8">
        <f t="shared" si="91"/>
        <v>0</v>
      </c>
      <c r="T213" s="8">
        <f t="shared" si="92"/>
        <v>0</v>
      </c>
      <c r="V213" s="8">
        <f t="shared" si="96"/>
        <v>3</v>
      </c>
      <c r="W213">
        <f t="shared" si="97"/>
        <v>1</v>
      </c>
      <c r="Y213" t="str">
        <f t="shared" si="93"/>
        <v>joy</v>
      </c>
    </row>
    <row r="214" spans="2:25" x14ac:dyDescent="0.25">
      <c r="B214" s="5">
        <v>212</v>
      </c>
      <c r="C214" t="s">
        <v>8</v>
      </c>
      <c r="D214" t="s">
        <v>2</v>
      </c>
      <c r="E214" t="s">
        <v>2</v>
      </c>
      <c r="F214" t="s">
        <v>2</v>
      </c>
      <c r="G214" t="s">
        <v>2</v>
      </c>
      <c r="J214" s="15" t="s">
        <v>654</v>
      </c>
      <c r="K214" s="5">
        <v>212</v>
      </c>
      <c r="L214" s="8">
        <f t="shared" si="84"/>
        <v>0</v>
      </c>
      <c r="M214" s="8">
        <f t="shared" si="85"/>
        <v>0</v>
      </c>
      <c r="N214" s="8">
        <f t="shared" si="86"/>
        <v>0</v>
      </c>
      <c r="O214" s="8">
        <f t="shared" si="87"/>
        <v>0</v>
      </c>
      <c r="P214" s="8">
        <f t="shared" si="88"/>
        <v>0</v>
      </c>
      <c r="Q214" s="8">
        <f t="shared" si="89"/>
        <v>0</v>
      </c>
      <c r="R214" s="8">
        <f t="shared" si="90"/>
        <v>0</v>
      </c>
      <c r="S214" s="8">
        <f t="shared" si="91"/>
        <v>1</v>
      </c>
      <c r="T214" s="8">
        <f t="shared" si="92"/>
        <v>4</v>
      </c>
      <c r="V214" s="8">
        <f t="shared" si="96"/>
        <v>4</v>
      </c>
      <c r="W214">
        <f t="shared" si="97"/>
        <v>1</v>
      </c>
      <c r="Y214" t="str">
        <f t="shared" si="93"/>
        <v>AMBIGUOUS</v>
      </c>
    </row>
    <row r="215" spans="2:25" x14ac:dyDescent="0.25">
      <c r="B215" s="5">
        <v>213</v>
      </c>
      <c r="C215" t="s">
        <v>3</v>
      </c>
      <c r="D215" t="s">
        <v>5</v>
      </c>
      <c r="E215" t="s">
        <v>2</v>
      </c>
      <c r="F215" t="s">
        <v>5</v>
      </c>
      <c r="G215" t="s">
        <v>5</v>
      </c>
      <c r="J215" s="15">
        <v>1</v>
      </c>
      <c r="K215" s="5">
        <v>213</v>
      </c>
      <c r="L215" s="8">
        <f t="shared" si="84"/>
        <v>1</v>
      </c>
      <c r="M215" s="8">
        <f t="shared" si="85"/>
        <v>0</v>
      </c>
      <c r="N215" s="8">
        <f t="shared" si="86"/>
        <v>0</v>
      </c>
      <c r="O215" s="8">
        <f t="shared" si="87"/>
        <v>0</v>
      </c>
      <c r="P215" s="8">
        <f t="shared" si="88"/>
        <v>3</v>
      </c>
      <c r="Q215" s="8">
        <f t="shared" si="89"/>
        <v>0</v>
      </c>
      <c r="R215" s="8">
        <f t="shared" si="90"/>
        <v>0</v>
      </c>
      <c r="S215" s="8">
        <f t="shared" si="91"/>
        <v>0</v>
      </c>
      <c r="T215" s="8">
        <f t="shared" si="92"/>
        <v>1</v>
      </c>
      <c r="V215" s="8">
        <f t="shared" si="96"/>
        <v>3</v>
      </c>
      <c r="W215">
        <f t="shared" si="97"/>
        <v>1</v>
      </c>
      <c r="Y215" t="str">
        <f t="shared" si="93"/>
        <v>sadness</v>
      </c>
    </row>
    <row r="216" spans="2:25" x14ac:dyDescent="0.25">
      <c r="B216" s="5">
        <v>214</v>
      </c>
      <c r="C216" t="s">
        <v>6</v>
      </c>
      <c r="D216" t="s">
        <v>6</v>
      </c>
      <c r="E216" t="s">
        <v>5</v>
      </c>
      <c r="F216" t="s">
        <v>6</v>
      </c>
      <c r="G216" t="s">
        <v>6</v>
      </c>
      <c r="J216" s="15" t="s">
        <v>654</v>
      </c>
      <c r="K216" s="5">
        <v>214</v>
      </c>
      <c r="L216" s="8">
        <f t="shared" si="84"/>
        <v>0</v>
      </c>
      <c r="M216" s="8">
        <f t="shared" si="85"/>
        <v>0</v>
      </c>
      <c r="N216" s="8">
        <f t="shared" si="86"/>
        <v>4</v>
      </c>
      <c r="O216" s="8">
        <f t="shared" si="87"/>
        <v>0</v>
      </c>
      <c r="P216" s="8">
        <f t="shared" si="88"/>
        <v>1</v>
      </c>
      <c r="Q216" s="8">
        <f t="shared" si="89"/>
        <v>0</v>
      </c>
      <c r="R216" s="8">
        <f t="shared" si="90"/>
        <v>0</v>
      </c>
      <c r="S216" s="8">
        <f t="shared" si="91"/>
        <v>0</v>
      </c>
      <c r="T216" s="8">
        <f t="shared" si="92"/>
        <v>0</v>
      </c>
      <c r="V216" s="8">
        <f t="shared" si="96"/>
        <v>4</v>
      </c>
      <c r="W216">
        <f t="shared" si="97"/>
        <v>1</v>
      </c>
      <c r="Y216" t="str">
        <f t="shared" si="93"/>
        <v>fear</v>
      </c>
    </row>
    <row r="217" spans="2:25" x14ac:dyDescent="0.25">
      <c r="B217" s="5">
        <v>215</v>
      </c>
      <c r="C217" t="s">
        <v>3</v>
      </c>
      <c r="D217" t="s">
        <v>5</v>
      </c>
      <c r="E217" t="s">
        <v>5</v>
      </c>
      <c r="F217" t="s">
        <v>5</v>
      </c>
      <c r="G217" t="s">
        <v>5</v>
      </c>
      <c r="J217" s="15" t="s">
        <v>654</v>
      </c>
      <c r="K217" s="5">
        <v>215</v>
      </c>
      <c r="L217" s="8">
        <f t="shared" si="84"/>
        <v>1</v>
      </c>
      <c r="M217" s="8">
        <f t="shared" si="85"/>
        <v>0</v>
      </c>
      <c r="N217" s="8">
        <f t="shared" si="86"/>
        <v>0</v>
      </c>
      <c r="O217" s="8">
        <f t="shared" si="87"/>
        <v>0</v>
      </c>
      <c r="P217" s="8">
        <f t="shared" si="88"/>
        <v>4</v>
      </c>
      <c r="Q217" s="8">
        <f t="shared" si="89"/>
        <v>0</v>
      </c>
      <c r="R217" s="8">
        <f t="shared" si="90"/>
        <v>0</v>
      </c>
      <c r="S217" s="8">
        <f t="shared" si="91"/>
        <v>0</v>
      </c>
      <c r="T217" s="8">
        <f t="shared" si="92"/>
        <v>0</v>
      </c>
      <c r="V217" s="8">
        <f t="shared" si="96"/>
        <v>4</v>
      </c>
      <c r="W217">
        <f t="shared" si="97"/>
        <v>1</v>
      </c>
      <c r="Y217" t="str">
        <f t="shared" si="93"/>
        <v>sadness</v>
      </c>
    </row>
    <row r="218" spans="2:25" x14ac:dyDescent="0.25">
      <c r="B218" s="5">
        <v>216</v>
      </c>
      <c r="C218" t="s">
        <v>3</v>
      </c>
      <c r="D218" t="s">
        <v>5</v>
      </c>
      <c r="E218" t="s">
        <v>5</v>
      </c>
      <c r="F218" t="s">
        <v>5</v>
      </c>
      <c r="G218" t="s">
        <v>5</v>
      </c>
      <c r="J218" s="15" t="s">
        <v>654</v>
      </c>
      <c r="K218" s="5">
        <v>216</v>
      </c>
      <c r="L218" s="8">
        <f t="shared" si="84"/>
        <v>1</v>
      </c>
      <c r="M218" s="8">
        <f t="shared" si="85"/>
        <v>0</v>
      </c>
      <c r="N218" s="8">
        <f t="shared" si="86"/>
        <v>0</v>
      </c>
      <c r="O218" s="8">
        <f t="shared" si="87"/>
        <v>0</v>
      </c>
      <c r="P218" s="8">
        <f t="shared" si="88"/>
        <v>4</v>
      </c>
      <c r="Q218" s="8">
        <f t="shared" si="89"/>
        <v>0</v>
      </c>
      <c r="R218" s="8">
        <f t="shared" si="90"/>
        <v>0</v>
      </c>
      <c r="S218" s="8">
        <f t="shared" si="91"/>
        <v>0</v>
      </c>
      <c r="T218" s="8">
        <f t="shared" si="92"/>
        <v>0</v>
      </c>
      <c r="V218" s="8">
        <f t="shared" si="96"/>
        <v>4</v>
      </c>
      <c r="W218">
        <f t="shared" si="97"/>
        <v>1</v>
      </c>
      <c r="Y218" t="str">
        <f t="shared" si="93"/>
        <v>sadness</v>
      </c>
    </row>
    <row r="219" spans="2:25" x14ac:dyDescent="0.25">
      <c r="B219" s="5">
        <v>217</v>
      </c>
      <c r="C219" t="s">
        <v>3</v>
      </c>
      <c r="D219" t="s">
        <v>3</v>
      </c>
      <c r="E219" t="s">
        <v>3</v>
      </c>
      <c r="F219" t="s">
        <v>3</v>
      </c>
      <c r="G219" t="s">
        <v>1</v>
      </c>
      <c r="J219" s="15" t="s">
        <v>654</v>
      </c>
      <c r="K219" s="5">
        <v>217</v>
      </c>
      <c r="L219" s="8">
        <f t="shared" si="84"/>
        <v>4</v>
      </c>
      <c r="M219" s="8">
        <f t="shared" si="85"/>
        <v>1</v>
      </c>
      <c r="N219" s="8">
        <f t="shared" si="86"/>
        <v>0</v>
      </c>
      <c r="O219" s="8">
        <f t="shared" si="87"/>
        <v>0</v>
      </c>
      <c r="P219" s="8">
        <f t="shared" si="88"/>
        <v>0</v>
      </c>
      <c r="Q219" s="8">
        <f t="shared" si="89"/>
        <v>0</v>
      </c>
      <c r="R219" s="8">
        <f t="shared" si="90"/>
        <v>0</v>
      </c>
      <c r="S219" s="8">
        <f t="shared" si="91"/>
        <v>0</v>
      </c>
      <c r="T219" s="8">
        <f t="shared" si="92"/>
        <v>0</v>
      </c>
      <c r="V219" s="8">
        <f t="shared" si="96"/>
        <v>4</v>
      </c>
      <c r="W219">
        <f t="shared" si="97"/>
        <v>1</v>
      </c>
      <c r="Y219" t="str">
        <f t="shared" si="93"/>
        <v>joy</v>
      </c>
    </row>
    <row r="220" spans="2:25" x14ac:dyDescent="0.25">
      <c r="B220" s="5">
        <v>218</v>
      </c>
      <c r="C220" t="s">
        <v>5</v>
      </c>
      <c r="D220" t="s">
        <v>3</v>
      </c>
      <c r="E220" t="s">
        <v>3</v>
      </c>
      <c r="F220" t="s">
        <v>3</v>
      </c>
      <c r="G220" t="s">
        <v>6</v>
      </c>
      <c r="J220" s="15">
        <v>1</v>
      </c>
      <c r="K220" s="5">
        <v>218</v>
      </c>
      <c r="L220" s="8">
        <f t="shared" si="84"/>
        <v>3</v>
      </c>
      <c r="M220" s="8">
        <f t="shared" si="85"/>
        <v>0</v>
      </c>
      <c r="N220" s="8">
        <f t="shared" si="86"/>
        <v>1</v>
      </c>
      <c r="O220" s="8">
        <f t="shared" si="87"/>
        <v>0</v>
      </c>
      <c r="P220" s="8">
        <f t="shared" si="88"/>
        <v>1</v>
      </c>
      <c r="Q220" s="8">
        <f t="shared" si="89"/>
        <v>0</v>
      </c>
      <c r="R220" s="8">
        <f t="shared" si="90"/>
        <v>0</v>
      </c>
      <c r="S220" s="8">
        <f t="shared" si="91"/>
        <v>0</v>
      </c>
      <c r="T220" s="8">
        <f t="shared" si="92"/>
        <v>0</v>
      </c>
      <c r="V220" s="8">
        <f t="shared" si="96"/>
        <v>3</v>
      </c>
      <c r="W220">
        <f t="shared" si="97"/>
        <v>1</v>
      </c>
      <c r="Y220" t="str">
        <f t="shared" si="93"/>
        <v>joy</v>
      </c>
    </row>
    <row r="221" spans="2:25" x14ac:dyDescent="0.25">
      <c r="B221" s="5">
        <v>219</v>
      </c>
      <c r="C221" t="s">
        <v>5</v>
      </c>
      <c r="D221" t="s">
        <v>8</v>
      </c>
      <c r="E221" t="s">
        <v>8</v>
      </c>
      <c r="F221" t="s">
        <v>8</v>
      </c>
      <c r="G221" t="s">
        <v>6</v>
      </c>
      <c r="J221" s="15">
        <v>1</v>
      </c>
      <c r="K221" s="5">
        <v>219</v>
      </c>
      <c r="L221" s="8">
        <f t="shared" si="84"/>
        <v>0</v>
      </c>
      <c r="M221" s="8">
        <f t="shared" si="85"/>
        <v>0</v>
      </c>
      <c r="N221" s="8">
        <f t="shared" si="86"/>
        <v>1</v>
      </c>
      <c r="O221" s="8">
        <f t="shared" si="87"/>
        <v>0</v>
      </c>
      <c r="P221" s="8">
        <f t="shared" si="88"/>
        <v>1</v>
      </c>
      <c r="Q221" s="8">
        <f t="shared" si="89"/>
        <v>0</v>
      </c>
      <c r="R221" s="8">
        <f t="shared" si="90"/>
        <v>0</v>
      </c>
      <c r="S221" s="8">
        <f t="shared" si="91"/>
        <v>3</v>
      </c>
      <c r="T221" s="8">
        <f t="shared" si="92"/>
        <v>0</v>
      </c>
      <c r="V221" s="8">
        <f t="shared" si="96"/>
        <v>3</v>
      </c>
      <c r="W221">
        <f t="shared" si="97"/>
        <v>1</v>
      </c>
      <c r="Y221" t="str">
        <f t="shared" si="93"/>
        <v>anticipation</v>
      </c>
    </row>
    <row r="222" spans="2:25" x14ac:dyDescent="0.25">
      <c r="B222" s="5">
        <v>220</v>
      </c>
      <c r="C222" t="s">
        <v>3</v>
      </c>
      <c r="D222" t="s">
        <v>3</v>
      </c>
      <c r="E222" t="s">
        <v>3</v>
      </c>
      <c r="F222" t="s">
        <v>3</v>
      </c>
      <c r="G222" t="s">
        <v>1</v>
      </c>
      <c r="J222" s="15" t="s">
        <v>654</v>
      </c>
      <c r="K222" s="5">
        <v>220</v>
      </c>
      <c r="L222" s="8">
        <f t="shared" si="84"/>
        <v>4</v>
      </c>
      <c r="M222" s="8">
        <f t="shared" si="85"/>
        <v>1</v>
      </c>
      <c r="N222" s="8">
        <f t="shared" si="86"/>
        <v>0</v>
      </c>
      <c r="O222" s="8">
        <f t="shared" si="87"/>
        <v>0</v>
      </c>
      <c r="P222" s="8">
        <f t="shared" si="88"/>
        <v>0</v>
      </c>
      <c r="Q222" s="8">
        <f t="shared" si="89"/>
        <v>0</v>
      </c>
      <c r="R222" s="8">
        <f t="shared" si="90"/>
        <v>0</v>
      </c>
      <c r="S222" s="8">
        <f t="shared" si="91"/>
        <v>0</v>
      </c>
      <c r="T222" s="8">
        <f t="shared" si="92"/>
        <v>0</v>
      </c>
      <c r="V222" s="8">
        <f t="shared" si="96"/>
        <v>4</v>
      </c>
      <c r="W222">
        <f t="shared" si="97"/>
        <v>1</v>
      </c>
      <c r="Y222" t="str">
        <f t="shared" si="93"/>
        <v>joy</v>
      </c>
    </row>
    <row r="223" spans="2:25" x14ac:dyDescent="0.25">
      <c r="B223" s="5">
        <v>221</v>
      </c>
      <c r="C223" t="s">
        <v>1</v>
      </c>
      <c r="D223" t="s">
        <v>0</v>
      </c>
      <c r="E223" t="s">
        <v>7</v>
      </c>
      <c r="F223" t="s">
        <v>0</v>
      </c>
      <c r="G223" t="s">
        <v>0</v>
      </c>
      <c r="J223" s="15">
        <v>1</v>
      </c>
      <c r="K223" s="5">
        <v>221</v>
      </c>
      <c r="L223" s="8">
        <f t="shared" si="84"/>
        <v>0</v>
      </c>
      <c r="M223" s="8">
        <f t="shared" si="85"/>
        <v>1</v>
      </c>
      <c r="N223" s="8">
        <f t="shared" si="86"/>
        <v>0</v>
      </c>
      <c r="O223" s="8">
        <f t="shared" si="87"/>
        <v>1</v>
      </c>
      <c r="P223" s="8">
        <f t="shared" si="88"/>
        <v>0</v>
      </c>
      <c r="Q223" s="8">
        <f t="shared" si="89"/>
        <v>3</v>
      </c>
      <c r="R223" s="8">
        <f t="shared" si="90"/>
        <v>0</v>
      </c>
      <c r="S223" s="8">
        <f t="shared" si="91"/>
        <v>0</v>
      </c>
      <c r="T223" s="8">
        <f t="shared" si="92"/>
        <v>0</v>
      </c>
      <c r="V223" s="8">
        <f t="shared" si="96"/>
        <v>3</v>
      </c>
      <c r="W223">
        <f t="shared" si="97"/>
        <v>1</v>
      </c>
      <c r="Y223" t="str">
        <f t="shared" si="93"/>
        <v>disgust</v>
      </c>
    </row>
    <row r="224" spans="2:25" x14ac:dyDescent="0.25">
      <c r="B224" s="5">
        <v>222</v>
      </c>
      <c r="C224" t="s">
        <v>1</v>
      </c>
      <c r="D224" t="s">
        <v>1</v>
      </c>
      <c r="E224" t="s">
        <v>3</v>
      </c>
      <c r="F224" t="s">
        <v>1</v>
      </c>
      <c r="G224" t="s">
        <v>6</v>
      </c>
      <c r="J224" s="15">
        <v>1</v>
      </c>
      <c r="K224" s="5">
        <v>222</v>
      </c>
      <c r="L224" s="8">
        <f t="shared" si="84"/>
        <v>1</v>
      </c>
      <c r="M224" s="8">
        <f t="shared" si="85"/>
        <v>3</v>
      </c>
      <c r="N224" s="8">
        <f t="shared" si="86"/>
        <v>1</v>
      </c>
      <c r="O224" s="8">
        <f t="shared" si="87"/>
        <v>0</v>
      </c>
      <c r="P224" s="8">
        <f t="shared" si="88"/>
        <v>0</v>
      </c>
      <c r="Q224" s="8">
        <f t="shared" si="89"/>
        <v>0</v>
      </c>
      <c r="R224" s="8">
        <f t="shared" si="90"/>
        <v>0</v>
      </c>
      <c r="S224" s="8">
        <f t="shared" si="91"/>
        <v>0</v>
      </c>
      <c r="T224" s="8">
        <f t="shared" si="92"/>
        <v>0</v>
      </c>
      <c r="V224" s="8">
        <f t="shared" si="96"/>
        <v>3</v>
      </c>
      <c r="W224">
        <f t="shared" si="97"/>
        <v>1</v>
      </c>
      <c r="Y224" t="str">
        <f t="shared" si="93"/>
        <v>trust</v>
      </c>
    </row>
    <row r="225" spans="2:25" x14ac:dyDescent="0.25">
      <c r="B225" s="5">
        <v>223</v>
      </c>
      <c r="C225" t="s">
        <v>6</v>
      </c>
      <c r="D225" t="s">
        <v>6</v>
      </c>
      <c r="E225" t="s">
        <v>6</v>
      </c>
      <c r="F225" t="s">
        <v>6</v>
      </c>
      <c r="G225" t="s">
        <v>6</v>
      </c>
      <c r="J225" s="15" t="s">
        <v>654</v>
      </c>
      <c r="K225" s="5">
        <v>223</v>
      </c>
      <c r="L225" s="8">
        <f t="shared" si="84"/>
        <v>0</v>
      </c>
      <c r="M225" s="8">
        <f t="shared" si="85"/>
        <v>0</v>
      </c>
      <c r="N225" s="8">
        <f t="shared" si="86"/>
        <v>5</v>
      </c>
      <c r="O225" s="8">
        <f t="shared" si="87"/>
        <v>0</v>
      </c>
      <c r="P225" s="8">
        <f t="shared" si="88"/>
        <v>0</v>
      </c>
      <c r="Q225" s="8">
        <f t="shared" si="89"/>
        <v>0</v>
      </c>
      <c r="R225" s="8">
        <f t="shared" si="90"/>
        <v>0</v>
      </c>
      <c r="S225" s="8">
        <f t="shared" si="91"/>
        <v>0</v>
      </c>
      <c r="T225" s="8">
        <f t="shared" si="92"/>
        <v>0</v>
      </c>
      <c r="V225" s="8">
        <f t="shared" si="96"/>
        <v>5</v>
      </c>
      <c r="W225">
        <f t="shared" si="97"/>
        <v>1</v>
      </c>
      <c r="Y225" t="str">
        <f t="shared" si="93"/>
        <v>fear</v>
      </c>
    </row>
    <row r="226" spans="2:25" x14ac:dyDescent="0.25">
      <c r="B226" s="5">
        <v>224</v>
      </c>
      <c r="C226" t="s">
        <v>5</v>
      </c>
      <c r="D226" t="s">
        <v>4</v>
      </c>
      <c r="E226" t="s">
        <v>4</v>
      </c>
      <c r="F226" t="s">
        <v>4</v>
      </c>
      <c r="G226" t="s">
        <v>6</v>
      </c>
      <c r="J226" s="15">
        <v>1</v>
      </c>
      <c r="K226" s="5">
        <v>224</v>
      </c>
      <c r="L226" s="8">
        <f t="shared" si="84"/>
        <v>0</v>
      </c>
      <c r="M226" s="8">
        <f t="shared" si="85"/>
        <v>0</v>
      </c>
      <c r="N226" s="8">
        <f t="shared" si="86"/>
        <v>1</v>
      </c>
      <c r="O226" s="8">
        <f t="shared" si="87"/>
        <v>0</v>
      </c>
      <c r="P226" s="8">
        <f t="shared" si="88"/>
        <v>1</v>
      </c>
      <c r="Q226" s="8">
        <f t="shared" si="89"/>
        <v>0</v>
      </c>
      <c r="R226" s="8">
        <f t="shared" si="90"/>
        <v>3</v>
      </c>
      <c r="S226" s="8">
        <f t="shared" si="91"/>
        <v>0</v>
      </c>
      <c r="T226" s="8">
        <f t="shared" si="92"/>
        <v>0</v>
      </c>
      <c r="V226" s="8">
        <f t="shared" si="96"/>
        <v>3</v>
      </c>
      <c r="W226">
        <f t="shared" si="97"/>
        <v>1</v>
      </c>
      <c r="Y226" t="str">
        <f t="shared" si="93"/>
        <v>anger</v>
      </c>
    </row>
    <row r="227" spans="2:25" x14ac:dyDescent="0.25">
      <c r="B227" s="5">
        <v>225</v>
      </c>
      <c r="C227" t="s">
        <v>5</v>
      </c>
      <c r="D227" t="s">
        <v>4</v>
      </c>
      <c r="E227" t="s">
        <v>4</v>
      </c>
      <c r="F227" t="s">
        <v>4</v>
      </c>
      <c r="G227" t="s">
        <v>6</v>
      </c>
      <c r="J227" s="15">
        <v>1</v>
      </c>
      <c r="K227" s="5">
        <v>225</v>
      </c>
      <c r="L227" s="8">
        <f t="shared" si="84"/>
        <v>0</v>
      </c>
      <c r="M227" s="8">
        <f t="shared" si="85"/>
        <v>0</v>
      </c>
      <c r="N227" s="8">
        <f t="shared" si="86"/>
        <v>1</v>
      </c>
      <c r="O227" s="8">
        <f t="shared" si="87"/>
        <v>0</v>
      </c>
      <c r="P227" s="8">
        <f t="shared" si="88"/>
        <v>1</v>
      </c>
      <c r="Q227" s="8">
        <f t="shared" si="89"/>
        <v>0</v>
      </c>
      <c r="R227" s="8">
        <f t="shared" si="90"/>
        <v>3</v>
      </c>
      <c r="S227" s="8">
        <f t="shared" si="91"/>
        <v>0</v>
      </c>
      <c r="T227" s="8">
        <f t="shared" si="92"/>
        <v>0</v>
      </c>
      <c r="V227" s="8">
        <f t="shared" si="96"/>
        <v>3</v>
      </c>
      <c r="W227">
        <f t="shared" si="97"/>
        <v>1</v>
      </c>
      <c r="Y227" t="str">
        <f t="shared" si="93"/>
        <v>anger</v>
      </c>
    </row>
    <row r="228" spans="2:25" x14ac:dyDescent="0.25">
      <c r="B228" s="5">
        <v>226</v>
      </c>
      <c r="C228" t="s">
        <v>8</v>
      </c>
      <c r="D228" t="s">
        <v>8</v>
      </c>
      <c r="E228" t="s">
        <v>2</v>
      </c>
      <c r="F228" t="s">
        <v>8</v>
      </c>
      <c r="G228" t="s">
        <v>6</v>
      </c>
      <c r="J228" s="15">
        <v>1</v>
      </c>
      <c r="K228" s="5">
        <v>226</v>
      </c>
      <c r="L228" s="8">
        <f t="shared" si="84"/>
        <v>0</v>
      </c>
      <c r="M228" s="8">
        <f t="shared" si="85"/>
        <v>0</v>
      </c>
      <c r="N228" s="8">
        <f t="shared" si="86"/>
        <v>1</v>
      </c>
      <c r="O228" s="8">
        <f t="shared" si="87"/>
        <v>0</v>
      </c>
      <c r="P228" s="8">
        <f t="shared" si="88"/>
        <v>0</v>
      </c>
      <c r="Q228" s="8">
        <f t="shared" si="89"/>
        <v>0</v>
      </c>
      <c r="R228" s="8">
        <f t="shared" si="90"/>
        <v>0</v>
      </c>
      <c r="S228" s="8">
        <f t="shared" si="91"/>
        <v>3</v>
      </c>
      <c r="T228" s="8">
        <f t="shared" si="92"/>
        <v>1</v>
      </c>
      <c r="V228" s="8">
        <f t="shared" si="96"/>
        <v>3</v>
      </c>
      <c r="W228">
        <f t="shared" si="97"/>
        <v>1</v>
      </c>
      <c r="Y228" t="str">
        <f t="shared" si="93"/>
        <v>anticipation</v>
      </c>
    </row>
    <row r="229" spans="2:25" x14ac:dyDescent="0.25">
      <c r="B229" s="5">
        <v>227</v>
      </c>
      <c r="C229" t="s">
        <v>1</v>
      </c>
      <c r="D229" t="s">
        <v>1</v>
      </c>
      <c r="E229" t="s">
        <v>1</v>
      </c>
      <c r="F229" t="s">
        <v>1</v>
      </c>
      <c r="G229" t="s">
        <v>1</v>
      </c>
      <c r="J229" s="15" t="s">
        <v>654</v>
      </c>
      <c r="K229" s="5">
        <v>227</v>
      </c>
      <c r="L229" s="8">
        <f t="shared" si="84"/>
        <v>0</v>
      </c>
      <c r="M229" s="8">
        <f t="shared" si="85"/>
        <v>5</v>
      </c>
      <c r="N229" s="8">
        <f t="shared" si="86"/>
        <v>0</v>
      </c>
      <c r="O229" s="8">
        <f t="shared" si="87"/>
        <v>0</v>
      </c>
      <c r="P229" s="8">
        <f t="shared" si="88"/>
        <v>0</v>
      </c>
      <c r="Q229" s="8">
        <f t="shared" si="89"/>
        <v>0</v>
      </c>
      <c r="R229" s="8">
        <f t="shared" si="90"/>
        <v>0</v>
      </c>
      <c r="S229" s="8">
        <f t="shared" si="91"/>
        <v>0</v>
      </c>
      <c r="T229" s="8">
        <f t="shared" si="92"/>
        <v>0</v>
      </c>
      <c r="V229" s="8">
        <f t="shared" si="96"/>
        <v>5</v>
      </c>
      <c r="W229">
        <f t="shared" si="97"/>
        <v>1</v>
      </c>
      <c r="Y229" t="str">
        <f t="shared" si="93"/>
        <v>trust</v>
      </c>
    </row>
    <row r="230" spans="2:25" x14ac:dyDescent="0.25">
      <c r="B230" s="5">
        <v>228</v>
      </c>
      <c r="C230" t="s">
        <v>8</v>
      </c>
      <c r="D230" t="s">
        <v>8</v>
      </c>
      <c r="E230" t="s">
        <v>2</v>
      </c>
      <c r="F230" t="s">
        <v>8</v>
      </c>
      <c r="G230" t="s">
        <v>1</v>
      </c>
      <c r="J230" s="15">
        <v>1</v>
      </c>
      <c r="K230" s="5">
        <v>228</v>
      </c>
      <c r="L230" s="8">
        <f t="shared" si="84"/>
        <v>0</v>
      </c>
      <c r="M230" s="8">
        <f t="shared" si="85"/>
        <v>1</v>
      </c>
      <c r="N230" s="8">
        <f t="shared" si="86"/>
        <v>0</v>
      </c>
      <c r="O230" s="8">
        <f t="shared" si="87"/>
        <v>0</v>
      </c>
      <c r="P230" s="8">
        <f t="shared" si="88"/>
        <v>0</v>
      </c>
      <c r="Q230" s="8">
        <f t="shared" si="89"/>
        <v>0</v>
      </c>
      <c r="R230" s="8">
        <f t="shared" si="90"/>
        <v>0</v>
      </c>
      <c r="S230" s="8">
        <f t="shared" si="91"/>
        <v>3</v>
      </c>
      <c r="T230" s="8">
        <f t="shared" si="92"/>
        <v>1</v>
      </c>
      <c r="V230" s="8">
        <f t="shared" si="96"/>
        <v>3</v>
      </c>
      <c r="W230">
        <f t="shared" si="97"/>
        <v>1</v>
      </c>
      <c r="Y230" t="str">
        <f t="shared" si="93"/>
        <v>anticipation</v>
      </c>
    </row>
    <row r="231" spans="2:25" x14ac:dyDescent="0.25">
      <c r="B231" s="5">
        <v>229</v>
      </c>
      <c r="C231" t="s">
        <v>0</v>
      </c>
      <c r="D231" t="s">
        <v>1</v>
      </c>
      <c r="E231" t="s">
        <v>1</v>
      </c>
      <c r="F231" t="s">
        <v>1</v>
      </c>
      <c r="G231" t="s">
        <v>6</v>
      </c>
      <c r="J231" s="15">
        <v>1</v>
      </c>
      <c r="K231" s="5">
        <v>229</v>
      </c>
      <c r="L231" s="8">
        <f t="shared" si="84"/>
        <v>0</v>
      </c>
      <c r="M231" s="8">
        <f t="shared" si="85"/>
        <v>3</v>
      </c>
      <c r="N231" s="8">
        <f t="shared" si="86"/>
        <v>1</v>
      </c>
      <c r="O231" s="8">
        <f t="shared" si="87"/>
        <v>0</v>
      </c>
      <c r="P231" s="8">
        <f t="shared" si="88"/>
        <v>0</v>
      </c>
      <c r="Q231" s="8">
        <f t="shared" si="89"/>
        <v>1</v>
      </c>
      <c r="R231" s="8">
        <f t="shared" si="90"/>
        <v>0</v>
      </c>
      <c r="S231" s="8">
        <f t="shared" si="91"/>
        <v>0</v>
      </c>
      <c r="T231" s="8">
        <f t="shared" si="92"/>
        <v>0</v>
      </c>
      <c r="V231" s="8">
        <f t="shared" si="96"/>
        <v>3</v>
      </c>
      <c r="W231">
        <f t="shared" si="97"/>
        <v>1</v>
      </c>
      <c r="Y231" t="str">
        <f t="shared" si="93"/>
        <v>trust</v>
      </c>
    </row>
    <row r="232" spans="2:25" x14ac:dyDescent="0.25">
      <c r="B232" s="5">
        <v>230</v>
      </c>
      <c r="C232" t="s">
        <v>8</v>
      </c>
      <c r="D232" t="s">
        <v>1</v>
      </c>
      <c r="E232" t="s">
        <v>1</v>
      </c>
      <c r="F232" t="s">
        <v>1</v>
      </c>
      <c r="G232" t="s">
        <v>1</v>
      </c>
      <c r="J232" s="15" t="s">
        <v>654</v>
      </c>
      <c r="K232" s="5">
        <v>230</v>
      </c>
      <c r="L232" s="8">
        <f t="shared" si="84"/>
        <v>0</v>
      </c>
      <c r="M232" s="8">
        <f t="shared" si="85"/>
        <v>4</v>
      </c>
      <c r="N232" s="8">
        <f t="shared" si="86"/>
        <v>0</v>
      </c>
      <c r="O232" s="8">
        <f t="shared" si="87"/>
        <v>0</v>
      </c>
      <c r="P232" s="8">
        <f t="shared" si="88"/>
        <v>0</v>
      </c>
      <c r="Q232" s="8">
        <f t="shared" si="89"/>
        <v>0</v>
      </c>
      <c r="R232" s="8">
        <f t="shared" si="90"/>
        <v>0</v>
      </c>
      <c r="S232" s="8">
        <f t="shared" si="91"/>
        <v>1</v>
      </c>
      <c r="T232" s="8">
        <f t="shared" si="92"/>
        <v>0</v>
      </c>
      <c r="V232" s="8">
        <f t="shared" si="96"/>
        <v>4</v>
      </c>
      <c r="W232">
        <f t="shared" si="97"/>
        <v>1</v>
      </c>
      <c r="Y232" t="str">
        <f t="shared" si="93"/>
        <v>trust</v>
      </c>
    </row>
    <row r="233" spans="2:25" x14ac:dyDescent="0.25">
      <c r="B233" s="5">
        <v>231</v>
      </c>
      <c r="C233" t="s">
        <v>0</v>
      </c>
      <c r="D233" t="s">
        <v>5</v>
      </c>
      <c r="E233" t="s">
        <v>5</v>
      </c>
      <c r="F233" t="s">
        <v>5</v>
      </c>
      <c r="G233" t="s">
        <v>6</v>
      </c>
      <c r="J233" s="15">
        <v>1</v>
      </c>
      <c r="K233" s="5">
        <v>231</v>
      </c>
      <c r="L233" s="8">
        <f t="shared" si="84"/>
        <v>0</v>
      </c>
      <c r="M233" s="8">
        <f t="shared" si="85"/>
        <v>0</v>
      </c>
      <c r="N233" s="8">
        <f t="shared" si="86"/>
        <v>1</v>
      </c>
      <c r="O233" s="8">
        <f t="shared" si="87"/>
        <v>0</v>
      </c>
      <c r="P233" s="8">
        <f t="shared" si="88"/>
        <v>3</v>
      </c>
      <c r="Q233" s="8">
        <f t="shared" si="89"/>
        <v>1</v>
      </c>
      <c r="R233" s="8">
        <f t="shared" si="90"/>
        <v>0</v>
      </c>
      <c r="S233" s="8">
        <f t="shared" si="91"/>
        <v>0</v>
      </c>
      <c r="T233" s="8">
        <f t="shared" si="92"/>
        <v>0</v>
      </c>
      <c r="V233" s="8">
        <f t="shared" si="96"/>
        <v>3</v>
      </c>
      <c r="W233">
        <f t="shared" si="97"/>
        <v>1</v>
      </c>
      <c r="Y233" t="str">
        <f t="shared" si="93"/>
        <v>sadness</v>
      </c>
    </row>
    <row r="234" spans="2:25" x14ac:dyDescent="0.25">
      <c r="B234" s="5">
        <v>232</v>
      </c>
      <c r="C234" t="s">
        <v>8</v>
      </c>
      <c r="D234" t="s">
        <v>8</v>
      </c>
      <c r="E234" t="s">
        <v>1</v>
      </c>
      <c r="F234" t="s">
        <v>8</v>
      </c>
      <c r="G234" t="s">
        <v>2</v>
      </c>
      <c r="J234" s="15">
        <v>1</v>
      </c>
      <c r="K234" s="5">
        <v>232</v>
      </c>
      <c r="L234" s="8">
        <f t="shared" si="84"/>
        <v>0</v>
      </c>
      <c r="M234" s="8">
        <f t="shared" si="85"/>
        <v>1</v>
      </c>
      <c r="N234" s="8">
        <f t="shared" si="86"/>
        <v>0</v>
      </c>
      <c r="O234" s="8">
        <f t="shared" si="87"/>
        <v>0</v>
      </c>
      <c r="P234" s="8">
        <f t="shared" si="88"/>
        <v>0</v>
      </c>
      <c r="Q234" s="8">
        <f t="shared" si="89"/>
        <v>0</v>
      </c>
      <c r="R234" s="8">
        <f t="shared" si="90"/>
        <v>0</v>
      </c>
      <c r="S234" s="8">
        <f t="shared" si="91"/>
        <v>3</v>
      </c>
      <c r="T234" s="8">
        <f t="shared" si="92"/>
        <v>1</v>
      </c>
      <c r="V234" s="8">
        <f t="shared" si="96"/>
        <v>3</v>
      </c>
      <c r="W234">
        <f t="shared" si="97"/>
        <v>1</v>
      </c>
      <c r="Y234" t="str">
        <f t="shared" si="93"/>
        <v>anticipation</v>
      </c>
    </row>
    <row r="235" spans="2:25" x14ac:dyDescent="0.25">
      <c r="B235" s="5">
        <v>233</v>
      </c>
      <c r="C235" t="s">
        <v>1</v>
      </c>
      <c r="D235" t="s">
        <v>1</v>
      </c>
      <c r="E235" t="s">
        <v>3</v>
      </c>
      <c r="F235" t="s">
        <v>1</v>
      </c>
      <c r="G235" t="s">
        <v>1</v>
      </c>
      <c r="J235" s="15" t="s">
        <v>654</v>
      </c>
      <c r="K235" s="5">
        <v>233</v>
      </c>
      <c r="L235" s="8">
        <f t="shared" si="84"/>
        <v>1</v>
      </c>
      <c r="M235" s="8">
        <f t="shared" si="85"/>
        <v>4</v>
      </c>
      <c r="N235" s="8">
        <f t="shared" si="86"/>
        <v>0</v>
      </c>
      <c r="O235" s="8">
        <f t="shared" si="87"/>
        <v>0</v>
      </c>
      <c r="P235" s="8">
        <f t="shared" si="88"/>
        <v>0</v>
      </c>
      <c r="Q235" s="8">
        <f t="shared" si="89"/>
        <v>0</v>
      </c>
      <c r="R235" s="8">
        <f t="shared" si="90"/>
        <v>0</v>
      </c>
      <c r="S235" s="8">
        <f t="shared" si="91"/>
        <v>0</v>
      </c>
      <c r="T235" s="8">
        <f t="shared" si="92"/>
        <v>0</v>
      </c>
      <c r="V235" s="8">
        <f t="shared" si="96"/>
        <v>4</v>
      </c>
      <c r="W235">
        <f t="shared" si="97"/>
        <v>1</v>
      </c>
      <c r="Y235" t="str">
        <f t="shared" si="93"/>
        <v>trust</v>
      </c>
    </row>
    <row r="236" spans="2:25" x14ac:dyDescent="0.25">
      <c r="B236" s="5">
        <v>234</v>
      </c>
      <c r="C236" t="s">
        <v>3</v>
      </c>
      <c r="D236" t="s">
        <v>3</v>
      </c>
      <c r="E236" t="s">
        <v>8</v>
      </c>
      <c r="F236" t="s">
        <v>3</v>
      </c>
      <c r="G236" t="s">
        <v>2</v>
      </c>
      <c r="J236" s="15">
        <v>1</v>
      </c>
      <c r="K236" s="5">
        <v>234</v>
      </c>
      <c r="L236" s="8">
        <f t="shared" si="84"/>
        <v>3</v>
      </c>
      <c r="M236" s="8">
        <f t="shared" si="85"/>
        <v>0</v>
      </c>
      <c r="N236" s="8">
        <f t="shared" si="86"/>
        <v>0</v>
      </c>
      <c r="O236" s="8">
        <f t="shared" si="87"/>
        <v>0</v>
      </c>
      <c r="P236" s="8">
        <f t="shared" si="88"/>
        <v>0</v>
      </c>
      <c r="Q236" s="8">
        <f t="shared" si="89"/>
        <v>0</v>
      </c>
      <c r="R236" s="8">
        <f t="shared" si="90"/>
        <v>0</v>
      </c>
      <c r="S236" s="8">
        <f t="shared" si="91"/>
        <v>1</v>
      </c>
      <c r="T236" s="8">
        <f t="shared" si="92"/>
        <v>1</v>
      </c>
      <c r="V236" s="8">
        <f t="shared" si="96"/>
        <v>3</v>
      </c>
      <c r="W236">
        <f t="shared" si="97"/>
        <v>1</v>
      </c>
      <c r="Y236" t="str">
        <f t="shared" si="93"/>
        <v>joy</v>
      </c>
    </row>
    <row r="237" spans="2:25" x14ac:dyDescent="0.25">
      <c r="B237" s="5">
        <v>235</v>
      </c>
      <c r="C237" t="s">
        <v>3</v>
      </c>
      <c r="D237" t="s">
        <v>1</v>
      </c>
      <c r="E237" t="s">
        <v>6</v>
      </c>
      <c r="F237" t="s">
        <v>1</v>
      </c>
      <c r="G237" t="s">
        <v>1</v>
      </c>
      <c r="J237" s="15">
        <v>1</v>
      </c>
      <c r="K237" s="5">
        <v>235</v>
      </c>
      <c r="L237" s="8">
        <f t="shared" si="84"/>
        <v>1</v>
      </c>
      <c r="M237" s="8">
        <f t="shared" si="85"/>
        <v>3</v>
      </c>
      <c r="N237" s="8">
        <f t="shared" si="86"/>
        <v>1</v>
      </c>
      <c r="O237" s="8">
        <f t="shared" si="87"/>
        <v>0</v>
      </c>
      <c r="P237" s="8">
        <f t="shared" si="88"/>
        <v>0</v>
      </c>
      <c r="Q237" s="8">
        <f t="shared" si="89"/>
        <v>0</v>
      </c>
      <c r="R237" s="8">
        <f t="shared" si="90"/>
        <v>0</v>
      </c>
      <c r="S237" s="8">
        <f t="shared" si="91"/>
        <v>0</v>
      </c>
      <c r="T237" s="8">
        <f t="shared" si="92"/>
        <v>0</v>
      </c>
      <c r="V237" s="8">
        <f t="shared" si="96"/>
        <v>3</v>
      </c>
      <c r="W237">
        <f t="shared" si="97"/>
        <v>1</v>
      </c>
      <c r="Y237" t="str">
        <f t="shared" si="93"/>
        <v>trust</v>
      </c>
    </row>
    <row r="238" spans="2:25" x14ac:dyDescent="0.25">
      <c r="B238" s="5">
        <v>236</v>
      </c>
      <c r="C238" t="s">
        <v>0</v>
      </c>
      <c r="D238" t="s">
        <v>1</v>
      </c>
      <c r="E238" t="s">
        <v>6</v>
      </c>
      <c r="F238" t="s">
        <v>1</v>
      </c>
      <c r="G238" t="s">
        <v>1</v>
      </c>
      <c r="J238" s="15">
        <v>1</v>
      </c>
      <c r="K238" s="5">
        <v>236</v>
      </c>
      <c r="L238" s="8">
        <f t="shared" si="84"/>
        <v>0</v>
      </c>
      <c r="M238" s="8">
        <f t="shared" si="85"/>
        <v>3</v>
      </c>
      <c r="N238" s="8">
        <f t="shared" si="86"/>
        <v>1</v>
      </c>
      <c r="O238" s="8">
        <f t="shared" si="87"/>
        <v>0</v>
      </c>
      <c r="P238" s="8">
        <f t="shared" si="88"/>
        <v>0</v>
      </c>
      <c r="Q238" s="8">
        <f t="shared" si="89"/>
        <v>1</v>
      </c>
      <c r="R238" s="8">
        <f t="shared" si="90"/>
        <v>0</v>
      </c>
      <c r="S238" s="8">
        <f t="shared" si="91"/>
        <v>0</v>
      </c>
      <c r="T238" s="8">
        <f t="shared" si="92"/>
        <v>0</v>
      </c>
      <c r="V238" s="8">
        <f t="shared" si="96"/>
        <v>3</v>
      </c>
      <c r="W238">
        <f t="shared" si="97"/>
        <v>1</v>
      </c>
      <c r="Y238" t="str">
        <f t="shared" si="93"/>
        <v>trust</v>
      </c>
    </row>
    <row r="239" spans="2:25" x14ac:dyDescent="0.25">
      <c r="B239" s="5">
        <v>237</v>
      </c>
      <c r="C239" t="s">
        <v>6</v>
      </c>
      <c r="D239" t="s">
        <v>6</v>
      </c>
      <c r="E239" t="s">
        <v>6</v>
      </c>
      <c r="F239" t="s">
        <v>6</v>
      </c>
      <c r="G239" t="s">
        <v>2</v>
      </c>
      <c r="J239" s="15" t="s">
        <v>654</v>
      </c>
      <c r="K239" s="5">
        <v>237</v>
      </c>
      <c r="L239" s="8">
        <f t="shared" si="84"/>
        <v>0</v>
      </c>
      <c r="M239" s="8">
        <f t="shared" si="85"/>
        <v>0</v>
      </c>
      <c r="N239" s="8">
        <f t="shared" si="86"/>
        <v>4</v>
      </c>
      <c r="O239" s="8">
        <f t="shared" si="87"/>
        <v>0</v>
      </c>
      <c r="P239" s="8">
        <f t="shared" si="88"/>
        <v>0</v>
      </c>
      <c r="Q239" s="8">
        <f t="shared" si="89"/>
        <v>0</v>
      </c>
      <c r="R239" s="8">
        <f t="shared" si="90"/>
        <v>0</v>
      </c>
      <c r="S239" s="8">
        <f t="shared" si="91"/>
        <v>0</v>
      </c>
      <c r="T239" s="8">
        <f t="shared" si="92"/>
        <v>1</v>
      </c>
      <c r="V239" s="8">
        <f t="shared" si="96"/>
        <v>4</v>
      </c>
      <c r="W239">
        <f t="shared" si="97"/>
        <v>1</v>
      </c>
      <c r="Y239" t="str">
        <f t="shared" si="93"/>
        <v>fear</v>
      </c>
    </row>
    <row r="240" spans="2:25" x14ac:dyDescent="0.25">
      <c r="B240" s="5">
        <v>238</v>
      </c>
      <c r="C240" t="s">
        <v>0</v>
      </c>
      <c r="D240" t="s">
        <v>1</v>
      </c>
      <c r="E240" t="s">
        <v>1</v>
      </c>
      <c r="F240" t="s">
        <v>1</v>
      </c>
      <c r="G240" t="s">
        <v>1</v>
      </c>
      <c r="J240" s="15" t="s">
        <v>654</v>
      </c>
      <c r="K240" s="5">
        <v>238</v>
      </c>
      <c r="L240" s="8">
        <f t="shared" si="84"/>
        <v>0</v>
      </c>
      <c r="M240" s="8">
        <f t="shared" si="85"/>
        <v>4</v>
      </c>
      <c r="N240" s="8">
        <f t="shared" si="86"/>
        <v>0</v>
      </c>
      <c r="O240" s="8">
        <f t="shared" si="87"/>
        <v>0</v>
      </c>
      <c r="P240" s="8">
        <f t="shared" si="88"/>
        <v>0</v>
      </c>
      <c r="Q240" s="8">
        <f t="shared" si="89"/>
        <v>1</v>
      </c>
      <c r="R240" s="8">
        <f t="shared" si="90"/>
        <v>0</v>
      </c>
      <c r="S240" s="8">
        <f t="shared" si="91"/>
        <v>0</v>
      </c>
      <c r="T240" s="8">
        <f t="shared" si="92"/>
        <v>0</v>
      </c>
      <c r="V240" s="8">
        <f t="shared" si="96"/>
        <v>4</v>
      </c>
      <c r="W240">
        <f t="shared" si="97"/>
        <v>1</v>
      </c>
      <c r="Y240" t="str">
        <f t="shared" si="93"/>
        <v>trust</v>
      </c>
    </row>
    <row r="241" spans="2:25" x14ac:dyDescent="0.25">
      <c r="B241" s="5">
        <v>239</v>
      </c>
      <c r="C241" t="s">
        <v>5</v>
      </c>
      <c r="D241" t="s">
        <v>0</v>
      </c>
      <c r="E241" t="s">
        <v>0</v>
      </c>
      <c r="F241" t="s">
        <v>0</v>
      </c>
      <c r="G241" t="s">
        <v>1</v>
      </c>
      <c r="J241" s="15">
        <v>1</v>
      </c>
      <c r="K241" s="5">
        <v>239</v>
      </c>
      <c r="L241" s="8">
        <f t="shared" si="84"/>
        <v>0</v>
      </c>
      <c r="M241" s="8">
        <f t="shared" si="85"/>
        <v>1</v>
      </c>
      <c r="N241" s="8">
        <f t="shared" si="86"/>
        <v>0</v>
      </c>
      <c r="O241" s="8">
        <f t="shared" si="87"/>
        <v>0</v>
      </c>
      <c r="P241" s="8">
        <f t="shared" si="88"/>
        <v>1</v>
      </c>
      <c r="Q241" s="8">
        <f t="shared" si="89"/>
        <v>3</v>
      </c>
      <c r="R241" s="8">
        <f t="shared" si="90"/>
        <v>0</v>
      </c>
      <c r="S241" s="8">
        <f t="shared" si="91"/>
        <v>0</v>
      </c>
      <c r="T241" s="8">
        <f t="shared" si="92"/>
        <v>0</v>
      </c>
      <c r="V241" s="8">
        <f t="shared" si="96"/>
        <v>3</v>
      </c>
      <c r="W241">
        <f t="shared" si="97"/>
        <v>1</v>
      </c>
      <c r="Y241" t="str">
        <f t="shared" si="93"/>
        <v>disgust</v>
      </c>
    </row>
    <row r="242" spans="2:25" x14ac:dyDescent="0.25">
      <c r="B242" s="5">
        <v>240</v>
      </c>
      <c r="C242" t="s">
        <v>2</v>
      </c>
      <c r="D242" t="s">
        <v>2</v>
      </c>
      <c r="E242" t="s">
        <v>1</v>
      </c>
      <c r="F242" t="s">
        <v>2</v>
      </c>
      <c r="G242" t="s">
        <v>2</v>
      </c>
      <c r="J242" s="15" t="s">
        <v>654</v>
      </c>
      <c r="K242" s="5">
        <v>240</v>
      </c>
      <c r="L242" s="8">
        <f t="shared" si="84"/>
        <v>0</v>
      </c>
      <c r="M242" s="8">
        <f t="shared" si="85"/>
        <v>1</v>
      </c>
      <c r="N242" s="8">
        <f t="shared" si="86"/>
        <v>0</v>
      </c>
      <c r="O242" s="8">
        <f t="shared" si="87"/>
        <v>0</v>
      </c>
      <c r="P242" s="8">
        <f t="shared" si="88"/>
        <v>0</v>
      </c>
      <c r="Q242" s="8">
        <f t="shared" si="89"/>
        <v>0</v>
      </c>
      <c r="R242" s="8">
        <f t="shared" si="90"/>
        <v>0</v>
      </c>
      <c r="S242" s="8">
        <f t="shared" si="91"/>
        <v>0</v>
      </c>
      <c r="T242" s="8">
        <f t="shared" si="92"/>
        <v>4</v>
      </c>
      <c r="V242" s="8">
        <f t="shared" si="96"/>
        <v>4</v>
      </c>
      <c r="W242">
        <f t="shared" si="97"/>
        <v>1</v>
      </c>
      <c r="Y242" t="str">
        <f t="shared" si="93"/>
        <v>AMBIGUOUS</v>
      </c>
    </row>
    <row r="243" spans="2:25" x14ac:dyDescent="0.25">
      <c r="B243" s="5">
        <v>241</v>
      </c>
      <c r="C243" t="s">
        <v>7</v>
      </c>
      <c r="D243" t="s">
        <v>6</v>
      </c>
      <c r="E243" t="s">
        <v>6</v>
      </c>
      <c r="F243" t="s">
        <v>6</v>
      </c>
      <c r="G243" t="s">
        <v>2</v>
      </c>
      <c r="J243" s="15">
        <v>1</v>
      </c>
      <c r="K243" s="5">
        <v>241</v>
      </c>
      <c r="L243" s="8">
        <f t="shared" si="84"/>
        <v>0</v>
      </c>
      <c r="M243" s="8">
        <f t="shared" si="85"/>
        <v>0</v>
      </c>
      <c r="N243" s="8">
        <f t="shared" si="86"/>
        <v>3</v>
      </c>
      <c r="O243" s="8">
        <f t="shared" si="87"/>
        <v>1</v>
      </c>
      <c r="P243" s="8">
        <f t="shared" si="88"/>
        <v>0</v>
      </c>
      <c r="Q243" s="8">
        <f t="shared" si="89"/>
        <v>0</v>
      </c>
      <c r="R243" s="8">
        <f t="shared" si="90"/>
        <v>0</v>
      </c>
      <c r="S243" s="8">
        <f t="shared" si="91"/>
        <v>0</v>
      </c>
      <c r="T243" s="8">
        <f t="shared" si="92"/>
        <v>1</v>
      </c>
      <c r="V243" s="8">
        <f t="shared" si="96"/>
        <v>3</v>
      </c>
      <c r="W243">
        <f t="shared" si="97"/>
        <v>1</v>
      </c>
      <c r="Y243" t="str">
        <f t="shared" si="93"/>
        <v>fear</v>
      </c>
    </row>
    <row r="244" spans="2:25" x14ac:dyDescent="0.25">
      <c r="B244" s="5">
        <v>242</v>
      </c>
      <c r="C244" t="s">
        <v>7</v>
      </c>
      <c r="D244" t="s">
        <v>7</v>
      </c>
      <c r="E244" t="s">
        <v>7</v>
      </c>
      <c r="F244" t="s">
        <v>7</v>
      </c>
      <c r="G244" t="s">
        <v>1</v>
      </c>
      <c r="J244" s="15" t="s">
        <v>654</v>
      </c>
      <c r="K244" s="5">
        <v>242</v>
      </c>
      <c r="L244" s="8">
        <f t="shared" si="84"/>
        <v>0</v>
      </c>
      <c r="M244" s="8">
        <f t="shared" si="85"/>
        <v>1</v>
      </c>
      <c r="N244" s="8">
        <f t="shared" si="86"/>
        <v>0</v>
      </c>
      <c r="O244" s="8">
        <f t="shared" si="87"/>
        <v>4</v>
      </c>
      <c r="P244" s="8">
        <f t="shared" si="88"/>
        <v>0</v>
      </c>
      <c r="Q244" s="8">
        <f t="shared" si="89"/>
        <v>0</v>
      </c>
      <c r="R244" s="8">
        <f t="shared" si="90"/>
        <v>0</v>
      </c>
      <c r="S244" s="8">
        <f t="shared" si="91"/>
        <v>0</v>
      </c>
      <c r="T244" s="8">
        <f t="shared" si="92"/>
        <v>0</v>
      </c>
      <c r="V244" s="8">
        <f t="shared" si="96"/>
        <v>4</v>
      </c>
      <c r="W244">
        <f t="shared" si="97"/>
        <v>1</v>
      </c>
      <c r="Y244" t="str">
        <f t="shared" si="93"/>
        <v>surprise</v>
      </c>
    </row>
    <row r="245" spans="2:25" x14ac:dyDescent="0.25">
      <c r="B245" s="5">
        <v>243</v>
      </c>
      <c r="C245" t="s">
        <v>2</v>
      </c>
      <c r="D245" t="s">
        <v>1</v>
      </c>
      <c r="E245" t="s">
        <v>3</v>
      </c>
      <c r="F245" t="s">
        <v>1</v>
      </c>
      <c r="G245" t="s">
        <v>1</v>
      </c>
      <c r="J245" s="15">
        <v>1</v>
      </c>
      <c r="K245" s="5">
        <v>243</v>
      </c>
      <c r="L245" s="8">
        <f t="shared" si="84"/>
        <v>1</v>
      </c>
      <c r="M245" s="8">
        <f t="shared" si="85"/>
        <v>3</v>
      </c>
      <c r="N245" s="8">
        <f t="shared" si="86"/>
        <v>0</v>
      </c>
      <c r="O245" s="8">
        <f t="shared" si="87"/>
        <v>0</v>
      </c>
      <c r="P245" s="8">
        <f t="shared" si="88"/>
        <v>0</v>
      </c>
      <c r="Q245" s="8">
        <f t="shared" si="89"/>
        <v>0</v>
      </c>
      <c r="R245" s="8">
        <f t="shared" si="90"/>
        <v>0</v>
      </c>
      <c r="S245" s="8">
        <f t="shared" si="91"/>
        <v>0</v>
      </c>
      <c r="T245" s="8">
        <f t="shared" si="92"/>
        <v>1</v>
      </c>
      <c r="V245" s="8">
        <f t="shared" si="96"/>
        <v>3</v>
      </c>
      <c r="W245">
        <f t="shared" si="97"/>
        <v>1</v>
      </c>
      <c r="Y245" t="str">
        <f t="shared" si="93"/>
        <v>trust</v>
      </c>
    </row>
    <row r="246" spans="2:25" x14ac:dyDescent="0.25">
      <c r="B246" s="5">
        <v>244</v>
      </c>
      <c r="C246" t="s">
        <v>3</v>
      </c>
      <c r="D246" t="s">
        <v>3</v>
      </c>
      <c r="E246" t="s">
        <v>3</v>
      </c>
      <c r="F246" t="s">
        <v>3</v>
      </c>
      <c r="G246" t="s">
        <v>2</v>
      </c>
      <c r="J246" s="15" t="s">
        <v>654</v>
      </c>
      <c r="K246" s="5">
        <v>244</v>
      </c>
      <c r="L246" s="8">
        <f t="shared" si="84"/>
        <v>4</v>
      </c>
      <c r="M246" s="8">
        <f t="shared" si="85"/>
        <v>0</v>
      </c>
      <c r="N246" s="8">
        <f t="shared" si="86"/>
        <v>0</v>
      </c>
      <c r="O246" s="8">
        <f t="shared" si="87"/>
        <v>0</v>
      </c>
      <c r="P246" s="8">
        <f t="shared" si="88"/>
        <v>0</v>
      </c>
      <c r="Q246" s="8">
        <f t="shared" si="89"/>
        <v>0</v>
      </c>
      <c r="R246" s="8">
        <f t="shared" si="90"/>
        <v>0</v>
      </c>
      <c r="S246" s="8">
        <f t="shared" si="91"/>
        <v>0</v>
      </c>
      <c r="T246" s="8">
        <f t="shared" si="92"/>
        <v>1</v>
      </c>
      <c r="V246" s="8">
        <f t="shared" si="96"/>
        <v>4</v>
      </c>
      <c r="W246">
        <f t="shared" si="97"/>
        <v>1</v>
      </c>
      <c r="Y246" t="str">
        <f t="shared" si="93"/>
        <v>joy</v>
      </c>
    </row>
    <row r="247" spans="2:25" x14ac:dyDescent="0.25">
      <c r="B247" s="5">
        <v>245</v>
      </c>
      <c r="C247" t="s">
        <v>1</v>
      </c>
      <c r="D247" t="s">
        <v>1</v>
      </c>
      <c r="E247" t="s">
        <v>1</v>
      </c>
      <c r="F247" t="s">
        <v>1</v>
      </c>
      <c r="G247" t="s">
        <v>2</v>
      </c>
      <c r="J247" s="15" t="s">
        <v>654</v>
      </c>
      <c r="K247" s="5">
        <v>245</v>
      </c>
      <c r="L247" s="8">
        <f t="shared" si="84"/>
        <v>0</v>
      </c>
      <c r="M247" s="8">
        <f t="shared" si="85"/>
        <v>4</v>
      </c>
      <c r="N247" s="8">
        <f t="shared" si="86"/>
        <v>0</v>
      </c>
      <c r="O247" s="8">
        <f t="shared" si="87"/>
        <v>0</v>
      </c>
      <c r="P247" s="8">
        <f t="shared" si="88"/>
        <v>0</v>
      </c>
      <c r="Q247" s="8">
        <f t="shared" si="89"/>
        <v>0</v>
      </c>
      <c r="R247" s="8">
        <f t="shared" si="90"/>
        <v>0</v>
      </c>
      <c r="S247" s="8">
        <f t="shared" si="91"/>
        <v>0</v>
      </c>
      <c r="T247" s="8">
        <f t="shared" si="92"/>
        <v>1</v>
      </c>
      <c r="V247" s="8">
        <f t="shared" si="96"/>
        <v>4</v>
      </c>
      <c r="W247">
        <f t="shared" si="97"/>
        <v>1</v>
      </c>
      <c r="Y247" t="str">
        <f t="shared" si="93"/>
        <v>trust</v>
      </c>
    </row>
    <row r="248" spans="2:25" x14ac:dyDescent="0.25">
      <c r="B248" s="5">
        <v>246</v>
      </c>
      <c r="C248" t="s">
        <v>7</v>
      </c>
      <c r="D248" t="s">
        <v>1</v>
      </c>
      <c r="E248" t="s">
        <v>1</v>
      </c>
      <c r="F248" t="s">
        <v>1</v>
      </c>
      <c r="G248" t="s">
        <v>1</v>
      </c>
      <c r="J248" s="15" t="s">
        <v>654</v>
      </c>
      <c r="K248" s="5">
        <v>246</v>
      </c>
      <c r="L248" s="8">
        <f t="shared" si="84"/>
        <v>0</v>
      </c>
      <c r="M248" s="8">
        <f t="shared" si="85"/>
        <v>4</v>
      </c>
      <c r="N248" s="8">
        <f t="shared" si="86"/>
        <v>0</v>
      </c>
      <c r="O248" s="8">
        <f t="shared" si="87"/>
        <v>1</v>
      </c>
      <c r="P248" s="8">
        <f t="shared" si="88"/>
        <v>0</v>
      </c>
      <c r="Q248" s="8">
        <f t="shared" si="89"/>
        <v>0</v>
      </c>
      <c r="R248" s="8">
        <f t="shared" si="90"/>
        <v>0</v>
      </c>
      <c r="S248" s="8">
        <f t="shared" si="91"/>
        <v>0</v>
      </c>
      <c r="T248" s="8">
        <f t="shared" si="92"/>
        <v>0</v>
      </c>
      <c r="V248" s="8">
        <f t="shared" si="96"/>
        <v>4</v>
      </c>
      <c r="W248">
        <f t="shared" si="97"/>
        <v>1</v>
      </c>
      <c r="Y248" t="str">
        <f t="shared" si="93"/>
        <v>trust</v>
      </c>
    </row>
    <row r="249" spans="2:25" x14ac:dyDescent="0.25">
      <c r="B249" s="5">
        <v>247</v>
      </c>
      <c r="C249" t="s">
        <v>7</v>
      </c>
      <c r="D249" t="s">
        <v>4</v>
      </c>
      <c r="E249" t="s">
        <v>1</v>
      </c>
      <c r="F249" t="s">
        <v>4</v>
      </c>
      <c r="G249" t="s">
        <v>4</v>
      </c>
      <c r="J249" s="15">
        <v>1</v>
      </c>
      <c r="K249" s="5">
        <v>247</v>
      </c>
      <c r="L249" s="8">
        <f t="shared" ref="L249:L312" si="98">COUNTIFS(C249:G249, "joy")</f>
        <v>0</v>
      </c>
      <c r="M249" s="8">
        <f t="shared" ref="M249:M312" si="99">COUNTIFS(C249:G249, "trust")</f>
        <v>1</v>
      </c>
      <c r="N249" s="8">
        <f t="shared" ref="N249:N312" si="100">COUNTIFS(C249:G249, "fear")</f>
        <v>0</v>
      </c>
      <c r="O249" s="8">
        <f t="shared" ref="O249:O312" si="101">COUNTIFS(C249:G249, "surprise")</f>
        <v>1</v>
      </c>
      <c r="P249" s="8">
        <f t="shared" ref="P249:P312" si="102">COUNTIFS(C249:G249, "sadness")</f>
        <v>0</v>
      </c>
      <c r="Q249" s="8">
        <f t="shared" ref="Q249:Q312" si="103">COUNTIFS(C249:G249, "disgust")</f>
        <v>0</v>
      </c>
      <c r="R249" s="8">
        <f t="shared" ref="R249:R312" si="104">COUNTIFS(C249:G249, "anger")</f>
        <v>3</v>
      </c>
      <c r="S249" s="8">
        <f t="shared" ref="S249:S312" si="105">COUNTIFS(C249:G249, "anticipation")</f>
        <v>0</v>
      </c>
      <c r="T249" s="8">
        <f t="shared" ref="T249:T312" si="106">COUNTIFS(C249:G249, "AMBIGUOUS")</f>
        <v>0</v>
      </c>
      <c r="V249" s="8">
        <f t="shared" si="96"/>
        <v>3</v>
      </c>
      <c r="W249">
        <f t="shared" si="97"/>
        <v>1</v>
      </c>
      <c r="Y249" t="str">
        <f t="shared" ref="Y249:Y310" si="107">INDEX($L$2:$T$2,MATCH(MAX(L249:T249),L249:T249,0))</f>
        <v>anger</v>
      </c>
    </row>
    <row r="250" spans="2:25" x14ac:dyDescent="0.25">
      <c r="B250" s="5">
        <v>248</v>
      </c>
      <c r="C250" t="s">
        <v>0</v>
      </c>
      <c r="D250" t="s">
        <v>0</v>
      </c>
      <c r="E250" t="s">
        <v>1</v>
      </c>
      <c r="F250" t="s">
        <v>0</v>
      </c>
      <c r="G250" t="s">
        <v>4</v>
      </c>
      <c r="J250" s="15">
        <v>1</v>
      </c>
      <c r="K250" s="5">
        <v>248</v>
      </c>
      <c r="L250" s="8">
        <f t="shared" si="98"/>
        <v>0</v>
      </c>
      <c r="M250" s="8">
        <f t="shared" si="99"/>
        <v>1</v>
      </c>
      <c r="N250" s="8">
        <f t="shared" si="100"/>
        <v>0</v>
      </c>
      <c r="O250" s="8">
        <f t="shared" si="101"/>
        <v>0</v>
      </c>
      <c r="P250" s="8">
        <f t="shared" si="102"/>
        <v>0</v>
      </c>
      <c r="Q250" s="8">
        <f t="shared" si="103"/>
        <v>3</v>
      </c>
      <c r="R250" s="8">
        <f t="shared" si="104"/>
        <v>1</v>
      </c>
      <c r="S250" s="8">
        <f t="shared" si="105"/>
        <v>0</v>
      </c>
      <c r="T250" s="8">
        <f t="shared" si="106"/>
        <v>0</v>
      </c>
      <c r="V250" s="8">
        <f t="shared" si="96"/>
        <v>3</v>
      </c>
      <c r="W250">
        <f t="shared" si="97"/>
        <v>1</v>
      </c>
      <c r="Y250" t="str">
        <f t="shared" si="107"/>
        <v>disgust</v>
      </c>
    </row>
    <row r="251" spans="2:25" x14ac:dyDescent="0.25">
      <c r="B251" s="5">
        <v>249</v>
      </c>
      <c r="C251" t="s">
        <v>0</v>
      </c>
      <c r="D251" t="s">
        <v>1</v>
      </c>
      <c r="E251" t="s">
        <v>1</v>
      </c>
      <c r="F251" t="s">
        <v>1</v>
      </c>
      <c r="G251" t="s">
        <v>1</v>
      </c>
      <c r="J251" s="15" t="s">
        <v>654</v>
      </c>
      <c r="K251" s="5">
        <v>249</v>
      </c>
      <c r="L251" s="8">
        <f t="shared" si="98"/>
        <v>0</v>
      </c>
      <c r="M251" s="8">
        <f t="shared" si="99"/>
        <v>4</v>
      </c>
      <c r="N251" s="8">
        <f t="shared" si="100"/>
        <v>0</v>
      </c>
      <c r="O251" s="8">
        <f t="shared" si="101"/>
        <v>0</v>
      </c>
      <c r="P251" s="8">
        <f t="shared" si="102"/>
        <v>0</v>
      </c>
      <c r="Q251" s="8">
        <f t="shared" si="103"/>
        <v>1</v>
      </c>
      <c r="R251" s="8">
        <f t="shared" si="104"/>
        <v>0</v>
      </c>
      <c r="S251" s="8">
        <f t="shared" si="105"/>
        <v>0</v>
      </c>
      <c r="T251" s="8">
        <f t="shared" si="106"/>
        <v>0</v>
      </c>
      <c r="V251" s="8">
        <f t="shared" si="96"/>
        <v>4</v>
      </c>
      <c r="W251">
        <f t="shared" si="97"/>
        <v>1</v>
      </c>
      <c r="Y251" t="str">
        <f t="shared" si="107"/>
        <v>trust</v>
      </c>
    </row>
    <row r="252" spans="2:25" x14ac:dyDescent="0.25">
      <c r="B252" s="5">
        <v>250</v>
      </c>
      <c r="C252" t="s">
        <v>1</v>
      </c>
      <c r="D252" t="s">
        <v>1</v>
      </c>
      <c r="E252" t="s">
        <v>1</v>
      </c>
      <c r="F252" t="s">
        <v>1</v>
      </c>
      <c r="G252" t="s">
        <v>1</v>
      </c>
      <c r="J252" s="15" t="s">
        <v>654</v>
      </c>
      <c r="K252" s="5">
        <v>250</v>
      </c>
      <c r="L252" s="8">
        <f t="shared" si="98"/>
        <v>0</v>
      </c>
      <c r="M252" s="8">
        <f t="shared" si="99"/>
        <v>5</v>
      </c>
      <c r="N252" s="8">
        <f t="shared" si="100"/>
        <v>0</v>
      </c>
      <c r="O252" s="8">
        <f t="shared" si="101"/>
        <v>0</v>
      </c>
      <c r="P252" s="8">
        <f t="shared" si="102"/>
        <v>0</v>
      </c>
      <c r="Q252" s="8">
        <f t="shared" si="103"/>
        <v>0</v>
      </c>
      <c r="R252" s="8">
        <f t="shared" si="104"/>
        <v>0</v>
      </c>
      <c r="S252" s="8">
        <f t="shared" si="105"/>
        <v>0</v>
      </c>
      <c r="T252" s="8">
        <f t="shared" si="106"/>
        <v>0</v>
      </c>
      <c r="V252" s="8">
        <f t="shared" si="96"/>
        <v>5</v>
      </c>
      <c r="W252">
        <f t="shared" si="97"/>
        <v>1</v>
      </c>
      <c r="Y252" t="str">
        <f t="shared" si="107"/>
        <v>trust</v>
      </c>
    </row>
    <row r="253" spans="2:25" x14ac:dyDescent="0.25">
      <c r="B253" s="5">
        <v>251</v>
      </c>
      <c r="C253" t="s">
        <v>1</v>
      </c>
      <c r="D253" t="s">
        <v>1</v>
      </c>
      <c r="E253" t="s">
        <v>3</v>
      </c>
      <c r="F253" t="s">
        <v>1</v>
      </c>
      <c r="G253" t="s">
        <v>1</v>
      </c>
      <c r="J253" s="15" t="s">
        <v>654</v>
      </c>
      <c r="K253" s="5">
        <v>251</v>
      </c>
      <c r="L253" s="8">
        <f t="shared" si="98"/>
        <v>1</v>
      </c>
      <c r="M253" s="8">
        <f t="shared" si="99"/>
        <v>4</v>
      </c>
      <c r="N253" s="8">
        <f t="shared" si="100"/>
        <v>0</v>
      </c>
      <c r="O253" s="8">
        <f t="shared" si="101"/>
        <v>0</v>
      </c>
      <c r="P253" s="8">
        <f t="shared" si="102"/>
        <v>0</v>
      </c>
      <c r="Q253" s="8">
        <f t="shared" si="103"/>
        <v>0</v>
      </c>
      <c r="R253" s="8">
        <f t="shared" si="104"/>
        <v>0</v>
      </c>
      <c r="S253" s="8">
        <f t="shared" si="105"/>
        <v>0</v>
      </c>
      <c r="T253" s="8">
        <f t="shared" si="106"/>
        <v>0</v>
      </c>
      <c r="V253" s="8">
        <f t="shared" si="96"/>
        <v>4</v>
      </c>
      <c r="W253">
        <f t="shared" si="97"/>
        <v>1</v>
      </c>
      <c r="Y253" t="str">
        <f t="shared" si="107"/>
        <v>trust</v>
      </c>
    </row>
    <row r="254" spans="2:25" x14ac:dyDescent="0.25">
      <c r="B254" s="5">
        <v>252</v>
      </c>
      <c r="C254" t="s">
        <v>2</v>
      </c>
      <c r="D254" t="s">
        <v>2</v>
      </c>
      <c r="E254" t="s">
        <v>3</v>
      </c>
      <c r="F254" t="s">
        <v>2</v>
      </c>
      <c r="G254" t="s">
        <v>2</v>
      </c>
      <c r="J254" s="15" t="s">
        <v>654</v>
      </c>
      <c r="K254" s="5">
        <v>252</v>
      </c>
      <c r="L254" s="8">
        <f t="shared" si="98"/>
        <v>1</v>
      </c>
      <c r="M254" s="8">
        <f t="shared" si="99"/>
        <v>0</v>
      </c>
      <c r="N254" s="8">
        <f t="shared" si="100"/>
        <v>0</v>
      </c>
      <c r="O254" s="8">
        <f t="shared" si="101"/>
        <v>0</v>
      </c>
      <c r="P254" s="8">
        <f t="shared" si="102"/>
        <v>0</v>
      </c>
      <c r="Q254" s="8">
        <f t="shared" si="103"/>
        <v>0</v>
      </c>
      <c r="R254" s="8">
        <f t="shared" si="104"/>
        <v>0</v>
      </c>
      <c r="S254" s="8">
        <f t="shared" si="105"/>
        <v>0</v>
      </c>
      <c r="T254" s="8">
        <f t="shared" si="106"/>
        <v>4</v>
      </c>
      <c r="V254" s="8">
        <f t="shared" si="96"/>
        <v>4</v>
      </c>
      <c r="W254">
        <f t="shared" si="97"/>
        <v>1</v>
      </c>
      <c r="Y254" t="str">
        <f t="shared" si="107"/>
        <v>AMBIGUOUS</v>
      </c>
    </row>
    <row r="255" spans="2:25" x14ac:dyDescent="0.25">
      <c r="B255" s="5">
        <v>253</v>
      </c>
      <c r="C255" t="s">
        <v>3</v>
      </c>
      <c r="D255" t="s">
        <v>3</v>
      </c>
      <c r="E255" t="s">
        <v>3</v>
      </c>
      <c r="F255" t="s">
        <v>3</v>
      </c>
      <c r="G255" t="s">
        <v>1</v>
      </c>
      <c r="J255" s="15" t="s">
        <v>654</v>
      </c>
      <c r="K255" s="5">
        <v>253</v>
      </c>
      <c r="L255" s="8">
        <f t="shared" si="98"/>
        <v>4</v>
      </c>
      <c r="M255" s="8">
        <f t="shared" si="99"/>
        <v>1</v>
      </c>
      <c r="N255" s="8">
        <f t="shared" si="100"/>
        <v>0</v>
      </c>
      <c r="O255" s="8">
        <f t="shared" si="101"/>
        <v>0</v>
      </c>
      <c r="P255" s="8">
        <f t="shared" si="102"/>
        <v>0</v>
      </c>
      <c r="Q255" s="8">
        <f t="shared" si="103"/>
        <v>0</v>
      </c>
      <c r="R255" s="8">
        <f t="shared" si="104"/>
        <v>0</v>
      </c>
      <c r="S255" s="8">
        <f t="shared" si="105"/>
        <v>0</v>
      </c>
      <c r="T255" s="8">
        <f t="shared" si="106"/>
        <v>0</v>
      </c>
      <c r="V255" s="8">
        <f t="shared" si="96"/>
        <v>4</v>
      </c>
      <c r="W255">
        <f t="shared" si="97"/>
        <v>1</v>
      </c>
      <c r="Y255" t="str">
        <f t="shared" si="107"/>
        <v>joy</v>
      </c>
    </row>
    <row r="256" spans="2:25" x14ac:dyDescent="0.25">
      <c r="B256" s="5">
        <v>254</v>
      </c>
      <c r="C256" t="s">
        <v>3</v>
      </c>
      <c r="D256" t="s">
        <v>1</v>
      </c>
      <c r="E256" t="s">
        <v>1</v>
      </c>
      <c r="F256" t="s">
        <v>1</v>
      </c>
      <c r="G256" t="s">
        <v>1</v>
      </c>
      <c r="J256" s="15" t="s">
        <v>654</v>
      </c>
      <c r="K256" s="5">
        <v>254</v>
      </c>
      <c r="L256" s="8">
        <f t="shared" si="98"/>
        <v>1</v>
      </c>
      <c r="M256" s="8">
        <f t="shared" si="99"/>
        <v>4</v>
      </c>
      <c r="N256" s="8">
        <f t="shared" si="100"/>
        <v>0</v>
      </c>
      <c r="O256" s="8">
        <f t="shared" si="101"/>
        <v>0</v>
      </c>
      <c r="P256" s="8">
        <f t="shared" si="102"/>
        <v>0</v>
      </c>
      <c r="Q256" s="8">
        <f t="shared" si="103"/>
        <v>0</v>
      </c>
      <c r="R256" s="8">
        <f t="shared" si="104"/>
        <v>0</v>
      </c>
      <c r="S256" s="8">
        <f t="shared" si="105"/>
        <v>0</v>
      </c>
      <c r="T256" s="8">
        <f t="shared" si="106"/>
        <v>0</v>
      </c>
      <c r="V256" s="8">
        <f t="shared" si="96"/>
        <v>4</v>
      </c>
      <c r="W256">
        <f t="shared" si="97"/>
        <v>1</v>
      </c>
      <c r="Y256" t="str">
        <f t="shared" si="107"/>
        <v>trust</v>
      </c>
    </row>
    <row r="257" spans="2:25" x14ac:dyDescent="0.25">
      <c r="B257" s="5">
        <v>255</v>
      </c>
      <c r="C257" t="s">
        <v>2</v>
      </c>
      <c r="D257" t="s">
        <v>1</v>
      </c>
      <c r="E257" t="s">
        <v>1</v>
      </c>
      <c r="F257" t="s">
        <v>1</v>
      </c>
      <c r="G257" t="s">
        <v>1</v>
      </c>
      <c r="J257" s="15" t="s">
        <v>654</v>
      </c>
      <c r="K257" s="5">
        <v>255</v>
      </c>
      <c r="L257" s="8">
        <f t="shared" si="98"/>
        <v>0</v>
      </c>
      <c r="M257" s="8">
        <f t="shared" si="99"/>
        <v>4</v>
      </c>
      <c r="N257" s="8">
        <f t="shared" si="100"/>
        <v>0</v>
      </c>
      <c r="O257" s="8">
        <f t="shared" si="101"/>
        <v>0</v>
      </c>
      <c r="P257" s="8">
        <f t="shared" si="102"/>
        <v>0</v>
      </c>
      <c r="Q257" s="8">
        <f t="shared" si="103"/>
        <v>0</v>
      </c>
      <c r="R257" s="8">
        <f t="shared" si="104"/>
        <v>0</v>
      </c>
      <c r="S257" s="8">
        <f t="shared" si="105"/>
        <v>0</v>
      </c>
      <c r="T257" s="8">
        <f t="shared" si="106"/>
        <v>1</v>
      </c>
      <c r="V257" s="8">
        <f t="shared" si="96"/>
        <v>4</v>
      </c>
      <c r="W257">
        <f t="shared" si="97"/>
        <v>1</v>
      </c>
      <c r="Y257" t="str">
        <f t="shared" si="107"/>
        <v>trust</v>
      </c>
    </row>
    <row r="258" spans="2:25" x14ac:dyDescent="0.25">
      <c r="B258" s="5">
        <v>256</v>
      </c>
      <c r="C258" t="s">
        <v>2</v>
      </c>
      <c r="D258" t="s">
        <v>2</v>
      </c>
      <c r="E258" t="s">
        <v>6</v>
      </c>
      <c r="F258" t="s">
        <v>2</v>
      </c>
      <c r="G258" t="s">
        <v>2</v>
      </c>
      <c r="J258" s="15" t="s">
        <v>654</v>
      </c>
      <c r="K258" s="5">
        <v>256</v>
      </c>
      <c r="L258" s="8">
        <f t="shared" si="98"/>
        <v>0</v>
      </c>
      <c r="M258" s="8">
        <f t="shared" si="99"/>
        <v>0</v>
      </c>
      <c r="N258" s="8">
        <f t="shared" si="100"/>
        <v>1</v>
      </c>
      <c r="O258" s="8">
        <f t="shared" si="101"/>
        <v>0</v>
      </c>
      <c r="P258" s="8">
        <f t="shared" si="102"/>
        <v>0</v>
      </c>
      <c r="Q258" s="8">
        <f t="shared" si="103"/>
        <v>0</v>
      </c>
      <c r="R258" s="8">
        <f t="shared" si="104"/>
        <v>0</v>
      </c>
      <c r="S258" s="8">
        <f t="shared" si="105"/>
        <v>0</v>
      </c>
      <c r="T258" s="8">
        <f t="shared" si="106"/>
        <v>4</v>
      </c>
      <c r="V258" s="8">
        <f t="shared" si="96"/>
        <v>4</v>
      </c>
      <c r="W258">
        <f t="shared" si="97"/>
        <v>1</v>
      </c>
      <c r="Y258" t="str">
        <f t="shared" si="107"/>
        <v>AMBIGUOUS</v>
      </c>
    </row>
    <row r="259" spans="2:25" x14ac:dyDescent="0.25">
      <c r="B259" s="5">
        <v>257</v>
      </c>
      <c r="C259" t="s">
        <v>3</v>
      </c>
      <c r="D259" t="s">
        <v>3</v>
      </c>
      <c r="E259" t="s">
        <v>3</v>
      </c>
      <c r="F259" t="s">
        <v>3</v>
      </c>
      <c r="G259" t="s">
        <v>1</v>
      </c>
      <c r="J259" s="15" t="s">
        <v>654</v>
      </c>
      <c r="K259" s="5">
        <v>257</v>
      </c>
      <c r="L259" s="8">
        <f t="shared" si="98"/>
        <v>4</v>
      </c>
      <c r="M259" s="8">
        <f t="shared" si="99"/>
        <v>1</v>
      </c>
      <c r="N259" s="8">
        <f t="shared" si="100"/>
        <v>0</v>
      </c>
      <c r="O259" s="8">
        <f t="shared" si="101"/>
        <v>0</v>
      </c>
      <c r="P259" s="8">
        <f t="shared" si="102"/>
        <v>0</v>
      </c>
      <c r="Q259" s="8">
        <f t="shared" si="103"/>
        <v>0</v>
      </c>
      <c r="R259" s="8">
        <f t="shared" si="104"/>
        <v>0</v>
      </c>
      <c r="S259" s="8">
        <f t="shared" si="105"/>
        <v>0</v>
      </c>
      <c r="T259" s="8">
        <f t="shared" si="106"/>
        <v>0</v>
      </c>
      <c r="V259" s="8">
        <f t="shared" si="96"/>
        <v>4</v>
      </c>
      <c r="W259">
        <f t="shared" si="97"/>
        <v>1</v>
      </c>
      <c r="Y259" t="str">
        <f t="shared" si="107"/>
        <v>joy</v>
      </c>
    </row>
    <row r="260" spans="2:25" x14ac:dyDescent="0.25">
      <c r="B260" s="5">
        <v>258</v>
      </c>
      <c r="C260" t="s">
        <v>5</v>
      </c>
      <c r="D260" t="s">
        <v>1</v>
      </c>
      <c r="E260" t="s">
        <v>1</v>
      </c>
      <c r="F260" t="s">
        <v>1</v>
      </c>
      <c r="G260" t="s">
        <v>1</v>
      </c>
      <c r="J260" s="15" t="s">
        <v>654</v>
      </c>
      <c r="K260" s="5">
        <v>258</v>
      </c>
      <c r="L260" s="8">
        <f t="shared" si="98"/>
        <v>0</v>
      </c>
      <c r="M260" s="8">
        <f t="shared" si="99"/>
        <v>4</v>
      </c>
      <c r="N260" s="8">
        <f t="shared" si="100"/>
        <v>0</v>
      </c>
      <c r="O260" s="8">
        <f t="shared" si="101"/>
        <v>0</v>
      </c>
      <c r="P260" s="8">
        <f t="shared" si="102"/>
        <v>1</v>
      </c>
      <c r="Q260" s="8">
        <f t="shared" si="103"/>
        <v>0</v>
      </c>
      <c r="R260" s="8">
        <f t="shared" si="104"/>
        <v>0</v>
      </c>
      <c r="S260" s="8">
        <f t="shared" si="105"/>
        <v>0</v>
      </c>
      <c r="T260" s="8">
        <f t="shared" si="106"/>
        <v>0</v>
      </c>
      <c r="V260" s="8">
        <f t="shared" si="96"/>
        <v>4</v>
      </c>
      <c r="W260">
        <f t="shared" si="97"/>
        <v>1</v>
      </c>
      <c r="Y260" t="str">
        <f t="shared" si="107"/>
        <v>trust</v>
      </c>
    </row>
    <row r="261" spans="2:25" x14ac:dyDescent="0.25">
      <c r="B261" s="5">
        <v>259</v>
      </c>
      <c r="C261" t="s">
        <v>1</v>
      </c>
      <c r="D261" t="s">
        <v>1</v>
      </c>
      <c r="E261" t="s">
        <v>1</v>
      </c>
      <c r="F261" t="s">
        <v>1</v>
      </c>
      <c r="G261" t="s">
        <v>1</v>
      </c>
      <c r="J261" s="15" t="s">
        <v>654</v>
      </c>
      <c r="K261" s="5">
        <v>259</v>
      </c>
      <c r="L261" s="8">
        <f t="shared" si="98"/>
        <v>0</v>
      </c>
      <c r="M261" s="8">
        <f t="shared" si="99"/>
        <v>5</v>
      </c>
      <c r="N261" s="8">
        <f t="shared" si="100"/>
        <v>0</v>
      </c>
      <c r="O261" s="8">
        <f t="shared" si="101"/>
        <v>0</v>
      </c>
      <c r="P261" s="8">
        <f t="shared" si="102"/>
        <v>0</v>
      </c>
      <c r="Q261" s="8">
        <f t="shared" si="103"/>
        <v>0</v>
      </c>
      <c r="R261" s="8">
        <f t="shared" si="104"/>
        <v>0</v>
      </c>
      <c r="S261" s="8">
        <f t="shared" si="105"/>
        <v>0</v>
      </c>
      <c r="T261" s="8">
        <f t="shared" si="106"/>
        <v>0</v>
      </c>
      <c r="V261" s="8">
        <f t="shared" si="96"/>
        <v>5</v>
      </c>
      <c r="W261">
        <f t="shared" si="97"/>
        <v>1</v>
      </c>
      <c r="Y261" t="str">
        <f t="shared" si="107"/>
        <v>trust</v>
      </c>
    </row>
    <row r="262" spans="2:25" x14ac:dyDescent="0.25">
      <c r="B262" s="5">
        <v>260</v>
      </c>
      <c r="C262" t="s">
        <v>1</v>
      </c>
      <c r="D262" t="s">
        <v>1</v>
      </c>
      <c r="E262" t="s">
        <v>6</v>
      </c>
      <c r="F262" t="s">
        <v>1</v>
      </c>
      <c r="G262" t="s">
        <v>4</v>
      </c>
      <c r="J262" s="15">
        <v>1</v>
      </c>
      <c r="K262" s="5">
        <v>260</v>
      </c>
      <c r="L262" s="8">
        <f t="shared" si="98"/>
        <v>0</v>
      </c>
      <c r="M262" s="8">
        <f t="shared" si="99"/>
        <v>3</v>
      </c>
      <c r="N262" s="8">
        <f t="shared" si="100"/>
        <v>1</v>
      </c>
      <c r="O262" s="8">
        <f t="shared" si="101"/>
        <v>0</v>
      </c>
      <c r="P262" s="8">
        <f t="shared" si="102"/>
        <v>0</v>
      </c>
      <c r="Q262" s="8">
        <f t="shared" si="103"/>
        <v>0</v>
      </c>
      <c r="R262" s="8">
        <f t="shared" si="104"/>
        <v>1</v>
      </c>
      <c r="S262" s="8">
        <f t="shared" si="105"/>
        <v>0</v>
      </c>
      <c r="T262" s="8">
        <f t="shared" si="106"/>
        <v>0</v>
      </c>
      <c r="V262" s="8">
        <f t="shared" si="96"/>
        <v>3</v>
      </c>
      <c r="W262">
        <f t="shared" si="97"/>
        <v>1</v>
      </c>
      <c r="Y262" t="str">
        <f t="shared" si="107"/>
        <v>trust</v>
      </c>
    </row>
    <row r="263" spans="2:25" x14ac:dyDescent="0.25">
      <c r="B263" s="5">
        <v>261</v>
      </c>
      <c r="C263" t="s">
        <v>5</v>
      </c>
      <c r="D263" t="s">
        <v>2</v>
      </c>
      <c r="E263" t="s">
        <v>6</v>
      </c>
      <c r="F263" t="s">
        <v>2</v>
      </c>
      <c r="G263" t="s">
        <v>2</v>
      </c>
      <c r="J263" s="15">
        <v>1</v>
      </c>
      <c r="K263" s="5">
        <v>261</v>
      </c>
      <c r="L263" s="8">
        <f t="shared" si="98"/>
        <v>0</v>
      </c>
      <c r="M263" s="8">
        <f t="shared" si="99"/>
        <v>0</v>
      </c>
      <c r="N263" s="8">
        <f t="shared" si="100"/>
        <v>1</v>
      </c>
      <c r="O263" s="8">
        <f t="shared" si="101"/>
        <v>0</v>
      </c>
      <c r="P263" s="8">
        <f t="shared" si="102"/>
        <v>1</v>
      </c>
      <c r="Q263" s="8">
        <f t="shared" si="103"/>
        <v>0</v>
      </c>
      <c r="R263" s="8">
        <f t="shared" si="104"/>
        <v>0</v>
      </c>
      <c r="S263" s="8">
        <f t="shared" si="105"/>
        <v>0</v>
      </c>
      <c r="T263" s="8">
        <f t="shared" si="106"/>
        <v>3</v>
      </c>
      <c r="V263" s="8">
        <f t="shared" si="96"/>
        <v>3</v>
      </c>
      <c r="W263">
        <f t="shared" si="97"/>
        <v>1</v>
      </c>
      <c r="Y263" t="str">
        <f t="shared" si="107"/>
        <v>AMBIGUOUS</v>
      </c>
    </row>
    <row r="264" spans="2:25" x14ac:dyDescent="0.25">
      <c r="B264" s="5">
        <v>262</v>
      </c>
      <c r="C264" t="s">
        <v>0</v>
      </c>
      <c r="D264" t="s">
        <v>0</v>
      </c>
      <c r="E264" t="s">
        <v>6</v>
      </c>
      <c r="F264" t="s">
        <v>0</v>
      </c>
      <c r="G264" t="s">
        <v>0</v>
      </c>
      <c r="J264" s="15" t="s">
        <v>654</v>
      </c>
      <c r="K264" s="5">
        <v>262</v>
      </c>
      <c r="L264" s="8">
        <f t="shared" si="98"/>
        <v>0</v>
      </c>
      <c r="M264" s="8">
        <f t="shared" si="99"/>
        <v>0</v>
      </c>
      <c r="N264" s="8">
        <f t="shared" si="100"/>
        <v>1</v>
      </c>
      <c r="O264" s="8">
        <f t="shared" si="101"/>
        <v>0</v>
      </c>
      <c r="P264" s="8">
        <f t="shared" si="102"/>
        <v>0</v>
      </c>
      <c r="Q264" s="8">
        <f t="shared" si="103"/>
        <v>4</v>
      </c>
      <c r="R264" s="8">
        <f t="shared" si="104"/>
        <v>0</v>
      </c>
      <c r="S264" s="8">
        <f t="shared" si="105"/>
        <v>0</v>
      </c>
      <c r="T264" s="8">
        <f t="shared" si="106"/>
        <v>0</v>
      </c>
      <c r="V264" s="8">
        <f t="shared" si="96"/>
        <v>4</v>
      </c>
      <c r="W264">
        <f t="shared" si="97"/>
        <v>1</v>
      </c>
      <c r="Y264" t="str">
        <f t="shared" si="107"/>
        <v>disgust</v>
      </c>
    </row>
    <row r="265" spans="2:25" x14ac:dyDescent="0.25">
      <c r="B265" s="5">
        <v>263</v>
      </c>
      <c r="C265" t="s">
        <v>1</v>
      </c>
      <c r="D265" t="s">
        <v>2</v>
      </c>
      <c r="E265" t="s">
        <v>3</v>
      </c>
      <c r="F265" t="s">
        <v>2</v>
      </c>
      <c r="G265" t="s">
        <v>2</v>
      </c>
      <c r="J265" s="15">
        <v>1</v>
      </c>
      <c r="K265" s="5">
        <v>263</v>
      </c>
      <c r="L265" s="8">
        <f t="shared" si="98"/>
        <v>1</v>
      </c>
      <c r="M265" s="8">
        <f t="shared" si="99"/>
        <v>1</v>
      </c>
      <c r="N265" s="8">
        <f t="shared" si="100"/>
        <v>0</v>
      </c>
      <c r="O265" s="8">
        <f t="shared" si="101"/>
        <v>0</v>
      </c>
      <c r="P265" s="8">
        <f t="shared" si="102"/>
        <v>0</v>
      </c>
      <c r="Q265" s="8">
        <f t="shared" si="103"/>
        <v>0</v>
      </c>
      <c r="R265" s="8">
        <f t="shared" si="104"/>
        <v>0</v>
      </c>
      <c r="S265" s="8">
        <f t="shared" si="105"/>
        <v>0</v>
      </c>
      <c r="T265" s="8">
        <f t="shared" si="106"/>
        <v>3</v>
      </c>
      <c r="V265" s="8">
        <f t="shared" si="96"/>
        <v>3</v>
      </c>
      <c r="W265">
        <f t="shared" si="97"/>
        <v>1</v>
      </c>
      <c r="Y265" t="str">
        <f t="shared" si="107"/>
        <v>AMBIGUOUS</v>
      </c>
    </row>
    <row r="266" spans="2:25" x14ac:dyDescent="0.25">
      <c r="B266" s="5">
        <v>264</v>
      </c>
      <c r="C266" t="s">
        <v>6</v>
      </c>
      <c r="D266" t="s">
        <v>6</v>
      </c>
      <c r="E266" t="s">
        <v>6</v>
      </c>
      <c r="F266" t="s">
        <v>6</v>
      </c>
      <c r="G266" t="s">
        <v>2</v>
      </c>
      <c r="J266" s="15" t="s">
        <v>654</v>
      </c>
      <c r="K266" s="5">
        <v>264</v>
      </c>
      <c r="L266" s="8">
        <f t="shared" si="98"/>
        <v>0</v>
      </c>
      <c r="M266" s="8">
        <f t="shared" si="99"/>
        <v>0</v>
      </c>
      <c r="N266" s="8">
        <f t="shared" si="100"/>
        <v>4</v>
      </c>
      <c r="O266" s="8">
        <f t="shared" si="101"/>
        <v>0</v>
      </c>
      <c r="P266" s="8">
        <f t="shared" si="102"/>
        <v>0</v>
      </c>
      <c r="Q266" s="8">
        <f t="shared" si="103"/>
        <v>0</v>
      </c>
      <c r="R266" s="8">
        <f t="shared" si="104"/>
        <v>0</v>
      </c>
      <c r="S266" s="8">
        <f t="shared" si="105"/>
        <v>0</v>
      </c>
      <c r="T266" s="8">
        <f t="shared" si="106"/>
        <v>1</v>
      </c>
      <c r="V266" s="8">
        <f t="shared" ref="V266:V310" si="108">MAX(L266:T266)</f>
        <v>4</v>
      </c>
      <c r="W266">
        <f t="shared" ref="W266:W310" si="109">COUNTIF(L266:T266, "=" &amp; V266)</f>
        <v>1</v>
      </c>
      <c r="Y266" t="str">
        <f t="shared" si="107"/>
        <v>fear</v>
      </c>
    </row>
    <row r="267" spans="2:25" x14ac:dyDescent="0.25">
      <c r="B267" s="5">
        <v>265</v>
      </c>
      <c r="C267" t="s">
        <v>6</v>
      </c>
      <c r="D267" t="s">
        <v>1</v>
      </c>
      <c r="E267" t="s">
        <v>1</v>
      </c>
      <c r="F267" t="s">
        <v>1</v>
      </c>
      <c r="G267" t="s">
        <v>1</v>
      </c>
      <c r="J267" s="15" t="s">
        <v>654</v>
      </c>
      <c r="K267" s="5">
        <v>265</v>
      </c>
      <c r="L267" s="8">
        <f t="shared" si="98"/>
        <v>0</v>
      </c>
      <c r="M267" s="8">
        <f t="shared" si="99"/>
        <v>4</v>
      </c>
      <c r="N267" s="8">
        <f t="shared" si="100"/>
        <v>1</v>
      </c>
      <c r="O267" s="8">
        <f t="shared" si="101"/>
        <v>0</v>
      </c>
      <c r="P267" s="8">
        <f t="shared" si="102"/>
        <v>0</v>
      </c>
      <c r="Q267" s="8">
        <f t="shared" si="103"/>
        <v>0</v>
      </c>
      <c r="R267" s="8">
        <f t="shared" si="104"/>
        <v>0</v>
      </c>
      <c r="S267" s="8">
        <f t="shared" si="105"/>
        <v>0</v>
      </c>
      <c r="T267" s="8">
        <f t="shared" si="106"/>
        <v>0</v>
      </c>
      <c r="V267" s="8">
        <f t="shared" si="108"/>
        <v>4</v>
      </c>
      <c r="W267">
        <f t="shared" si="109"/>
        <v>1</v>
      </c>
      <c r="Y267" t="str">
        <f t="shared" si="107"/>
        <v>trust</v>
      </c>
    </row>
    <row r="268" spans="2:25" x14ac:dyDescent="0.25">
      <c r="B268" s="5">
        <v>266</v>
      </c>
      <c r="C268" t="s">
        <v>5</v>
      </c>
      <c r="D268" t="s">
        <v>1</v>
      </c>
      <c r="E268" t="s">
        <v>3</v>
      </c>
      <c r="F268" t="s">
        <v>1</v>
      </c>
      <c r="G268" t="s">
        <v>1</v>
      </c>
      <c r="J268" s="15">
        <v>1</v>
      </c>
      <c r="K268" s="5">
        <v>266</v>
      </c>
      <c r="L268" s="8">
        <f t="shared" si="98"/>
        <v>1</v>
      </c>
      <c r="M268" s="8">
        <f t="shared" si="99"/>
        <v>3</v>
      </c>
      <c r="N268" s="8">
        <f t="shared" si="100"/>
        <v>0</v>
      </c>
      <c r="O268" s="8">
        <f t="shared" si="101"/>
        <v>0</v>
      </c>
      <c r="P268" s="8">
        <f t="shared" si="102"/>
        <v>1</v>
      </c>
      <c r="Q268" s="8">
        <f t="shared" si="103"/>
        <v>0</v>
      </c>
      <c r="R268" s="8">
        <f t="shared" si="104"/>
        <v>0</v>
      </c>
      <c r="S268" s="8">
        <f t="shared" si="105"/>
        <v>0</v>
      </c>
      <c r="T268" s="8">
        <f t="shared" si="106"/>
        <v>0</v>
      </c>
      <c r="V268" s="8">
        <f t="shared" si="108"/>
        <v>3</v>
      </c>
      <c r="W268">
        <f t="shared" si="109"/>
        <v>1</v>
      </c>
      <c r="Y268" t="str">
        <f t="shared" si="107"/>
        <v>trust</v>
      </c>
    </row>
    <row r="269" spans="2:25" x14ac:dyDescent="0.25">
      <c r="B269" s="5">
        <v>267</v>
      </c>
      <c r="C269" t="s">
        <v>2</v>
      </c>
      <c r="D269" t="s">
        <v>2</v>
      </c>
      <c r="E269" t="s">
        <v>1</v>
      </c>
      <c r="F269" t="s">
        <v>2</v>
      </c>
      <c r="G269" t="s">
        <v>2</v>
      </c>
      <c r="J269" s="15" t="s">
        <v>654</v>
      </c>
      <c r="K269" s="5">
        <v>267</v>
      </c>
      <c r="L269" s="8">
        <f t="shared" si="98"/>
        <v>0</v>
      </c>
      <c r="M269" s="8">
        <f t="shared" si="99"/>
        <v>1</v>
      </c>
      <c r="N269" s="8">
        <f t="shared" si="100"/>
        <v>0</v>
      </c>
      <c r="O269" s="8">
        <f t="shared" si="101"/>
        <v>0</v>
      </c>
      <c r="P269" s="8">
        <f t="shared" si="102"/>
        <v>0</v>
      </c>
      <c r="Q269" s="8">
        <f t="shared" si="103"/>
        <v>0</v>
      </c>
      <c r="R269" s="8">
        <f t="shared" si="104"/>
        <v>0</v>
      </c>
      <c r="S269" s="8">
        <f t="shared" si="105"/>
        <v>0</v>
      </c>
      <c r="T269" s="8">
        <f t="shared" si="106"/>
        <v>4</v>
      </c>
      <c r="V269" s="8">
        <f t="shared" si="108"/>
        <v>4</v>
      </c>
      <c r="W269">
        <f t="shared" si="109"/>
        <v>1</v>
      </c>
      <c r="Y269" t="str">
        <f t="shared" si="107"/>
        <v>AMBIGUOUS</v>
      </c>
    </row>
    <row r="270" spans="2:25" x14ac:dyDescent="0.25">
      <c r="B270" s="5">
        <v>268</v>
      </c>
      <c r="C270" t="s">
        <v>2</v>
      </c>
      <c r="D270" t="s">
        <v>1</v>
      </c>
      <c r="E270" t="s">
        <v>1</v>
      </c>
      <c r="F270" t="s">
        <v>1</v>
      </c>
      <c r="G270" t="s">
        <v>1</v>
      </c>
      <c r="J270" s="15" t="s">
        <v>654</v>
      </c>
      <c r="K270" s="5">
        <v>268</v>
      </c>
      <c r="L270" s="8">
        <f t="shared" si="98"/>
        <v>0</v>
      </c>
      <c r="M270" s="8">
        <f t="shared" si="99"/>
        <v>4</v>
      </c>
      <c r="N270" s="8">
        <f t="shared" si="100"/>
        <v>0</v>
      </c>
      <c r="O270" s="8">
        <f t="shared" si="101"/>
        <v>0</v>
      </c>
      <c r="P270" s="8">
        <f t="shared" si="102"/>
        <v>0</v>
      </c>
      <c r="Q270" s="8">
        <f t="shared" si="103"/>
        <v>0</v>
      </c>
      <c r="R270" s="8">
        <f t="shared" si="104"/>
        <v>0</v>
      </c>
      <c r="S270" s="8">
        <f t="shared" si="105"/>
        <v>0</v>
      </c>
      <c r="T270" s="8">
        <f t="shared" si="106"/>
        <v>1</v>
      </c>
      <c r="V270" s="8">
        <f t="shared" si="108"/>
        <v>4</v>
      </c>
      <c r="W270">
        <f t="shared" si="109"/>
        <v>1</v>
      </c>
      <c r="Y270" t="str">
        <f t="shared" si="107"/>
        <v>trust</v>
      </c>
    </row>
    <row r="271" spans="2:25" x14ac:dyDescent="0.25">
      <c r="B271" s="5">
        <v>269</v>
      </c>
      <c r="C271" t="s">
        <v>7</v>
      </c>
      <c r="D271" t="s">
        <v>5</v>
      </c>
      <c r="E271" t="s">
        <v>5</v>
      </c>
      <c r="F271" t="s">
        <v>5</v>
      </c>
      <c r="G271" t="s">
        <v>1</v>
      </c>
      <c r="J271" s="15">
        <v>1</v>
      </c>
      <c r="K271" s="5">
        <v>269</v>
      </c>
      <c r="L271" s="8">
        <f t="shared" si="98"/>
        <v>0</v>
      </c>
      <c r="M271" s="8">
        <f t="shared" si="99"/>
        <v>1</v>
      </c>
      <c r="N271" s="8">
        <f t="shared" si="100"/>
        <v>0</v>
      </c>
      <c r="O271" s="8">
        <f t="shared" si="101"/>
        <v>1</v>
      </c>
      <c r="P271" s="8">
        <f t="shared" si="102"/>
        <v>3</v>
      </c>
      <c r="Q271" s="8">
        <f t="shared" si="103"/>
        <v>0</v>
      </c>
      <c r="R271" s="8">
        <f t="shared" si="104"/>
        <v>0</v>
      </c>
      <c r="S271" s="8">
        <f t="shared" si="105"/>
        <v>0</v>
      </c>
      <c r="T271" s="8">
        <f t="shared" si="106"/>
        <v>0</v>
      </c>
      <c r="V271" s="8">
        <f t="shared" si="108"/>
        <v>3</v>
      </c>
      <c r="W271">
        <f t="shared" si="109"/>
        <v>1</v>
      </c>
      <c r="Y271" t="str">
        <f t="shared" si="107"/>
        <v>sadness</v>
      </c>
    </row>
    <row r="272" spans="2:25" x14ac:dyDescent="0.25">
      <c r="B272" s="5">
        <v>270</v>
      </c>
      <c r="C272" t="s">
        <v>0</v>
      </c>
      <c r="D272" t="s">
        <v>0</v>
      </c>
      <c r="E272" t="s">
        <v>4</v>
      </c>
      <c r="F272" t="s">
        <v>0</v>
      </c>
      <c r="G272" t="s">
        <v>1</v>
      </c>
      <c r="J272" s="15">
        <v>1</v>
      </c>
      <c r="K272" s="5">
        <v>270</v>
      </c>
      <c r="L272" s="8">
        <f t="shared" si="98"/>
        <v>0</v>
      </c>
      <c r="M272" s="8">
        <f t="shared" si="99"/>
        <v>1</v>
      </c>
      <c r="N272" s="8">
        <f t="shared" si="100"/>
        <v>0</v>
      </c>
      <c r="O272" s="8">
        <f t="shared" si="101"/>
        <v>0</v>
      </c>
      <c r="P272" s="8">
        <f t="shared" si="102"/>
        <v>0</v>
      </c>
      <c r="Q272" s="8">
        <f t="shared" si="103"/>
        <v>3</v>
      </c>
      <c r="R272" s="8">
        <f t="shared" si="104"/>
        <v>1</v>
      </c>
      <c r="S272" s="8">
        <f t="shared" si="105"/>
        <v>0</v>
      </c>
      <c r="T272" s="8">
        <f t="shared" si="106"/>
        <v>0</v>
      </c>
      <c r="V272" s="8">
        <f t="shared" si="108"/>
        <v>3</v>
      </c>
      <c r="W272">
        <f t="shared" si="109"/>
        <v>1</v>
      </c>
      <c r="Y272" t="str">
        <f t="shared" si="107"/>
        <v>disgust</v>
      </c>
    </row>
    <row r="273" spans="2:25" x14ac:dyDescent="0.25">
      <c r="B273" s="5">
        <v>271</v>
      </c>
      <c r="C273" t="s">
        <v>7</v>
      </c>
      <c r="D273" t="s">
        <v>7</v>
      </c>
      <c r="E273" t="s">
        <v>3</v>
      </c>
      <c r="F273" t="s">
        <v>7</v>
      </c>
      <c r="G273" t="s">
        <v>6</v>
      </c>
      <c r="J273" s="15">
        <v>1</v>
      </c>
      <c r="K273" s="5">
        <v>271</v>
      </c>
      <c r="L273" s="8">
        <f t="shared" si="98"/>
        <v>1</v>
      </c>
      <c r="M273" s="8">
        <f t="shared" si="99"/>
        <v>0</v>
      </c>
      <c r="N273" s="8">
        <f t="shared" si="100"/>
        <v>1</v>
      </c>
      <c r="O273" s="8">
        <f t="shared" si="101"/>
        <v>3</v>
      </c>
      <c r="P273" s="8">
        <f t="shared" si="102"/>
        <v>0</v>
      </c>
      <c r="Q273" s="8">
        <f t="shared" si="103"/>
        <v>0</v>
      </c>
      <c r="R273" s="8">
        <f t="shared" si="104"/>
        <v>0</v>
      </c>
      <c r="S273" s="8">
        <f t="shared" si="105"/>
        <v>0</v>
      </c>
      <c r="T273" s="8">
        <f t="shared" si="106"/>
        <v>0</v>
      </c>
      <c r="V273" s="8">
        <f t="shared" si="108"/>
        <v>3</v>
      </c>
      <c r="W273">
        <f t="shared" si="109"/>
        <v>1</v>
      </c>
      <c r="Y273" t="str">
        <f t="shared" si="107"/>
        <v>surprise</v>
      </c>
    </row>
    <row r="274" spans="2:25" x14ac:dyDescent="0.25">
      <c r="B274" s="5">
        <v>272</v>
      </c>
      <c r="C274" t="s">
        <v>1</v>
      </c>
      <c r="D274" t="s">
        <v>4</v>
      </c>
      <c r="E274" t="s">
        <v>4</v>
      </c>
      <c r="F274" t="s">
        <v>4</v>
      </c>
      <c r="G274" t="s">
        <v>3</v>
      </c>
      <c r="J274" s="15">
        <v>1</v>
      </c>
      <c r="K274" s="5">
        <v>272</v>
      </c>
      <c r="L274" s="8">
        <f t="shared" si="98"/>
        <v>1</v>
      </c>
      <c r="M274" s="8">
        <f t="shared" si="99"/>
        <v>1</v>
      </c>
      <c r="N274" s="8">
        <f t="shared" si="100"/>
        <v>0</v>
      </c>
      <c r="O274" s="8">
        <f t="shared" si="101"/>
        <v>0</v>
      </c>
      <c r="P274" s="8">
        <f t="shared" si="102"/>
        <v>0</v>
      </c>
      <c r="Q274" s="8">
        <f t="shared" si="103"/>
        <v>0</v>
      </c>
      <c r="R274" s="8">
        <f t="shared" si="104"/>
        <v>3</v>
      </c>
      <c r="S274" s="8">
        <f t="shared" si="105"/>
        <v>0</v>
      </c>
      <c r="T274" s="8">
        <f t="shared" si="106"/>
        <v>0</v>
      </c>
      <c r="V274" s="8">
        <f t="shared" si="108"/>
        <v>3</v>
      </c>
      <c r="W274">
        <f t="shared" si="109"/>
        <v>1</v>
      </c>
      <c r="Y274" t="str">
        <f t="shared" si="107"/>
        <v>anger</v>
      </c>
    </row>
    <row r="275" spans="2:25" x14ac:dyDescent="0.25">
      <c r="B275" s="5">
        <v>273</v>
      </c>
      <c r="C275" t="s">
        <v>3</v>
      </c>
      <c r="D275" t="s">
        <v>3</v>
      </c>
      <c r="E275" t="s">
        <v>3</v>
      </c>
      <c r="F275" t="s">
        <v>3</v>
      </c>
      <c r="G275" t="s">
        <v>7</v>
      </c>
      <c r="J275" s="15" t="s">
        <v>654</v>
      </c>
      <c r="K275" s="5">
        <v>273</v>
      </c>
      <c r="L275" s="8">
        <f t="shared" si="98"/>
        <v>4</v>
      </c>
      <c r="M275" s="8">
        <f t="shared" si="99"/>
        <v>0</v>
      </c>
      <c r="N275" s="8">
        <f t="shared" si="100"/>
        <v>0</v>
      </c>
      <c r="O275" s="8">
        <f t="shared" si="101"/>
        <v>1</v>
      </c>
      <c r="P275" s="8">
        <f t="shared" si="102"/>
        <v>0</v>
      </c>
      <c r="Q275" s="8">
        <f t="shared" si="103"/>
        <v>0</v>
      </c>
      <c r="R275" s="8">
        <f t="shared" si="104"/>
        <v>0</v>
      </c>
      <c r="S275" s="8">
        <f t="shared" si="105"/>
        <v>0</v>
      </c>
      <c r="T275" s="8">
        <f t="shared" si="106"/>
        <v>0</v>
      </c>
      <c r="V275" s="8">
        <f t="shared" si="108"/>
        <v>4</v>
      </c>
      <c r="W275">
        <f t="shared" si="109"/>
        <v>1</v>
      </c>
      <c r="Y275" t="str">
        <f t="shared" si="107"/>
        <v>joy</v>
      </c>
    </row>
    <row r="276" spans="2:25" x14ac:dyDescent="0.25">
      <c r="B276" s="5">
        <v>274</v>
      </c>
      <c r="C276" t="s">
        <v>0</v>
      </c>
      <c r="D276" t="s">
        <v>0</v>
      </c>
      <c r="E276" t="s">
        <v>5</v>
      </c>
      <c r="F276" t="s">
        <v>0</v>
      </c>
      <c r="G276" t="s">
        <v>0</v>
      </c>
      <c r="J276" s="15" t="s">
        <v>654</v>
      </c>
      <c r="K276" s="5">
        <v>274</v>
      </c>
      <c r="L276" s="8">
        <f t="shared" si="98"/>
        <v>0</v>
      </c>
      <c r="M276" s="8">
        <f t="shared" si="99"/>
        <v>0</v>
      </c>
      <c r="N276" s="8">
        <f t="shared" si="100"/>
        <v>0</v>
      </c>
      <c r="O276" s="8">
        <f t="shared" si="101"/>
        <v>0</v>
      </c>
      <c r="P276" s="8">
        <f t="shared" si="102"/>
        <v>1</v>
      </c>
      <c r="Q276" s="8">
        <f t="shared" si="103"/>
        <v>4</v>
      </c>
      <c r="R276" s="8">
        <f t="shared" si="104"/>
        <v>0</v>
      </c>
      <c r="S276" s="8">
        <f t="shared" si="105"/>
        <v>0</v>
      </c>
      <c r="T276" s="8">
        <f t="shared" si="106"/>
        <v>0</v>
      </c>
      <c r="V276" s="8">
        <f t="shared" si="108"/>
        <v>4</v>
      </c>
      <c r="W276">
        <f t="shared" si="109"/>
        <v>1</v>
      </c>
      <c r="Y276" t="str">
        <f t="shared" si="107"/>
        <v>disgust</v>
      </c>
    </row>
    <row r="277" spans="2:25" x14ac:dyDescent="0.25">
      <c r="B277" s="5">
        <v>275</v>
      </c>
      <c r="C277" t="s">
        <v>7</v>
      </c>
      <c r="D277" t="s">
        <v>2</v>
      </c>
      <c r="E277" t="s">
        <v>2</v>
      </c>
      <c r="F277" t="s">
        <v>2</v>
      </c>
      <c r="G277" t="s">
        <v>2</v>
      </c>
      <c r="J277" s="15" t="s">
        <v>654</v>
      </c>
      <c r="K277" s="5">
        <v>275</v>
      </c>
      <c r="L277" s="8">
        <f t="shared" si="98"/>
        <v>0</v>
      </c>
      <c r="M277" s="8">
        <f t="shared" si="99"/>
        <v>0</v>
      </c>
      <c r="N277" s="8">
        <f t="shared" si="100"/>
        <v>0</v>
      </c>
      <c r="O277" s="8">
        <f t="shared" si="101"/>
        <v>1</v>
      </c>
      <c r="P277" s="8">
        <f t="shared" si="102"/>
        <v>0</v>
      </c>
      <c r="Q277" s="8">
        <f t="shared" si="103"/>
        <v>0</v>
      </c>
      <c r="R277" s="8">
        <f t="shared" si="104"/>
        <v>0</v>
      </c>
      <c r="S277" s="8">
        <f t="shared" si="105"/>
        <v>0</v>
      </c>
      <c r="T277" s="8">
        <f t="shared" si="106"/>
        <v>4</v>
      </c>
      <c r="V277" s="8">
        <f t="shared" si="108"/>
        <v>4</v>
      </c>
      <c r="W277">
        <f t="shared" si="109"/>
        <v>1</v>
      </c>
      <c r="Y277" t="str">
        <f t="shared" si="107"/>
        <v>AMBIGUOUS</v>
      </c>
    </row>
    <row r="278" spans="2:25" x14ac:dyDescent="0.25">
      <c r="B278" s="5">
        <v>276</v>
      </c>
      <c r="C278" t="s">
        <v>7</v>
      </c>
      <c r="D278" t="s">
        <v>2</v>
      </c>
      <c r="E278" t="s">
        <v>1</v>
      </c>
      <c r="F278" t="s">
        <v>2</v>
      </c>
      <c r="G278" t="s">
        <v>2</v>
      </c>
      <c r="J278" s="15">
        <v>1</v>
      </c>
      <c r="K278" s="5">
        <v>276</v>
      </c>
      <c r="L278" s="8">
        <f t="shared" si="98"/>
        <v>0</v>
      </c>
      <c r="M278" s="8">
        <f t="shared" si="99"/>
        <v>1</v>
      </c>
      <c r="N278" s="8">
        <f t="shared" si="100"/>
        <v>0</v>
      </c>
      <c r="O278" s="8">
        <f t="shared" si="101"/>
        <v>1</v>
      </c>
      <c r="P278" s="8">
        <f t="shared" si="102"/>
        <v>0</v>
      </c>
      <c r="Q278" s="8">
        <f t="shared" si="103"/>
        <v>0</v>
      </c>
      <c r="R278" s="8">
        <f t="shared" si="104"/>
        <v>0</v>
      </c>
      <c r="S278" s="8">
        <f t="shared" si="105"/>
        <v>0</v>
      </c>
      <c r="T278" s="8">
        <f t="shared" si="106"/>
        <v>3</v>
      </c>
      <c r="V278" s="8">
        <f t="shared" si="108"/>
        <v>3</v>
      </c>
      <c r="W278">
        <f t="shared" si="109"/>
        <v>1</v>
      </c>
      <c r="Y278" t="str">
        <f t="shared" si="107"/>
        <v>AMBIGUOUS</v>
      </c>
    </row>
    <row r="279" spans="2:25" x14ac:dyDescent="0.25">
      <c r="B279" s="5">
        <v>277</v>
      </c>
      <c r="C279" t="s">
        <v>0</v>
      </c>
      <c r="D279" t="s">
        <v>0</v>
      </c>
      <c r="E279" t="s">
        <v>1</v>
      </c>
      <c r="F279" t="s">
        <v>0</v>
      </c>
      <c r="G279" t="s">
        <v>2</v>
      </c>
      <c r="J279" s="15">
        <v>1</v>
      </c>
      <c r="K279" s="5">
        <v>277</v>
      </c>
      <c r="L279" s="8">
        <f t="shared" si="98"/>
        <v>0</v>
      </c>
      <c r="M279" s="8">
        <f t="shared" si="99"/>
        <v>1</v>
      </c>
      <c r="N279" s="8">
        <f t="shared" si="100"/>
        <v>0</v>
      </c>
      <c r="O279" s="8">
        <f t="shared" si="101"/>
        <v>0</v>
      </c>
      <c r="P279" s="8">
        <f t="shared" si="102"/>
        <v>0</v>
      </c>
      <c r="Q279" s="8">
        <f t="shared" si="103"/>
        <v>3</v>
      </c>
      <c r="R279" s="8">
        <f t="shared" si="104"/>
        <v>0</v>
      </c>
      <c r="S279" s="8">
        <f t="shared" si="105"/>
        <v>0</v>
      </c>
      <c r="T279" s="8">
        <f t="shared" si="106"/>
        <v>1</v>
      </c>
      <c r="V279" s="8">
        <f t="shared" si="108"/>
        <v>3</v>
      </c>
      <c r="W279">
        <f t="shared" si="109"/>
        <v>1</v>
      </c>
      <c r="Y279" t="str">
        <f t="shared" si="107"/>
        <v>disgust</v>
      </c>
    </row>
    <row r="280" spans="2:25" x14ac:dyDescent="0.25">
      <c r="B280" s="5">
        <v>278</v>
      </c>
      <c r="C280" t="s">
        <v>7</v>
      </c>
      <c r="D280" t="s">
        <v>2</v>
      </c>
      <c r="E280" t="s">
        <v>2</v>
      </c>
      <c r="F280" t="s">
        <v>2</v>
      </c>
      <c r="G280" t="s">
        <v>2</v>
      </c>
      <c r="J280" s="15" t="s">
        <v>654</v>
      </c>
      <c r="K280" s="5">
        <v>278</v>
      </c>
      <c r="L280" s="8">
        <f t="shared" si="98"/>
        <v>0</v>
      </c>
      <c r="M280" s="8">
        <f t="shared" si="99"/>
        <v>0</v>
      </c>
      <c r="N280" s="8">
        <f t="shared" si="100"/>
        <v>0</v>
      </c>
      <c r="O280" s="8">
        <f t="shared" si="101"/>
        <v>1</v>
      </c>
      <c r="P280" s="8">
        <f t="shared" si="102"/>
        <v>0</v>
      </c>
      <c r="Q280" s="8">
        <f t="shared" si="103"/>
        <v>0</v>
      </c>
      <c r="R280" s="8">
        <f t="shared" si="104"/>
        <v>0</v>
      </c>
      <c r="S280" s="8">
        <f t="shared" si="105"/>
        <v>0</v>
      </c>
      <c r="T280" s="8">
        <f t="shared" si="106"/>
        <v>4</v>
      </c>
      <c r="V280" s="8">
        <f t="shared" si="108"/>
        <v>4</v>
      </c>
      <c r="W280">
        <f t="shared" si="109"/>
        <v>1</v>
      </c>
      <c r="Y280" t="str">
        <f t="shared" si="107"/>
        <v>AMBIGUOUS</v>
      </c>
    </row>
    <row r="281" spans="2:25" x14ac:dyDescent="0.25">
      <c r="B281" s="5">
        <v>279</v>
      </c>
      <c r="C281" t="s">
        <v>7</v>
      </c>
      <c r="D281" t="s">
        <v>1</v>
      </c>
      <c r="E281" t="s">
        <v>1</v>
      </c>
      <c r="F281" t="s">
        <v>1</v>
      </c>
      <c r="G281" t="s">
        <v>1</v>
      </c>
      <c r="J281" s="15" t="s">
        <v>654</v>
      </c>
      <c r="K281" s="5">
        <v>279</v>
      </c>
      <c r="L281" s="8">
        <f t="shared" si="98"/>
        <v>0</v>
      </c>
      <c r="M281" s="8">
        <f t="shared" si="99"/>
        <v>4</v>
      </c>
      <c r="N281" s="8">
        <f t="shared" si="100"/>
        <v>0</v>
      </c>
      <c r="O281" s="8">
        <f t="shared" si="101"/>
        <v>1</v>
      </c>
      <c r="P281" s="8">
        <f t="shared" si="102"/>
        <v>0</v>
      </c>
      <c r="Q281" s="8">
        <f t="shared" si="103"/>
        <v>0</v>
      </c>
      <c r="R281" s="8">
        <f t="shared" si="104"/>
        <v>0</v>
      </c>
      <c r="S281" s="8">
        <f t="shared" si="105"/>
        <v>0</v>
      </c>
      <c r="T281" s="8">
        <f t="shared" si="106"/>
        <v>0</v>
      </c>
      <c r="V281" s="8">
        <f t="shared" si="108"/>
        <v>4</v>
      </c>
      <c r="W281">
        <f t="shared" si="109"/>
        <v>1</v>
      </c>
      <c r="Y281" t="str">
        <f t="shared" si="107"/>
        <v>trust</v>
      </c>
    </row>
    <row r="282" spans="2:25" x14ac:dyDescent="0.25">
      <c r="B282" s="5">
        <v>280</v>
      </c>
      <c r="C282" t="s">
        <v>3</v>
      </c>
      <c r="D282" t="s">
        <v>2</v>
      </c>
      <c r="E282" t="s">
        <v>2</v>
      </c>
      <c r="F282" t="s">
        <v>2</v>
      </c>
      <c r="G282" t="s">
        <v>8</v>
      </c>
      <c r="J282" s="15">
        <v>1</v>
      </c>
      <c r="K282" s="5">
        <v>280</v>
      </c>
      <c r="L282" s="8">
        <f t="shared" si="98"/>
        <v>1</v>
      </c>
      <c r="M282" s="8">
        <f t="shared" si="99"/>
        <v>0</v>
      </c>
      <c r="N282" s="8">
        <f t="shared" si="100"/>
        <v>0</v>
      </c>
      <c r="O282" s="8">
        <f t="shared" si="101"/>
        <v>0</v>
      </c>
      <c r="P282" s="8">
        <f t="shared" si="102"/>
        <v>0</v>
      </c>
      <c r="Q282" s="8">
        <f t="shared" si="103"/>
        <v>0</v>
      </c>
      <c r="R282" s="8">
        <f t="shared" si="104"/>
        <v>0</v>
      </c>
      <c r="S282" s="8">
        <f t="shared" si="105"/>
        <v>1</v>
      </c>
      <c r="T282" s="8">
        <f t="shared" si="106"/>
        <v>3</v>
      </c>
      <c r="V282" s="8">
        <f t="shared" si="108"/>
        <v>3</v>
      </c>
      <c r="W282">
        <f t="shared" si="109"/>
        <v>1</v>
      </c>
      <c r="Y282" t="str">
        <f t="shared" si="107"/>
        <v>AMBIGUOUS</v>
      </c>
    </row>
    <row r="283" spans="2:25" x14ac:dyDescent="0.25">
      <c r="B283" s="5">
        <v>281</v>
      </c>
      <c r="C283" t="s">
        <v>3</v>
      </c>
      <c r="D283" t="s">
        <v>3</v>
      </c>
      <c r="E283" t="s">
        <v>3</v>
      </c>
      <c r="F283" t="s">
        <v>3</v>
      </c>
      <c r="G283" t="s">
        <v>7</v>
      </c>
      <c r="J283" s="15" t="s">
        <v>654</v>
      </c>
      <c r="K283" s="5">
        <v>281</v>
      </c>
      <c r="L283" s="8">
        <f t="shared" si="98"/>
        <v>4</v>
      </c>
      <c r="M283" s="8">
        <f t="shared" si="99"/>
        <v>0</v>
      </c>
      <c r="N283" s="8">
        <f t="shared" si="100"/>
        <v>0</v>
      </c>
      <c r="O283" s="8">
        <f t="shared" si="101"/>
        <v>1</v>
      </c>
      <c r="P283" s="8">
        <f t="shared" si="102"/>
        <v>0</v>
      </c>
      <c r="Q283" s="8">
        <f t="shared" si="103"/>
        <v>0</v>
      </c>
      <c r="R283" s="8">
        <f t="shared" si="104"/>
        <v>0</v>
      </c>
      <c r="S283" s="8">
        <f t="shared" si="105"/>
        <v>0</v>
      </c>
      <c r="T283" s="8">
        <f t="shared" si="106"/>
        <v>0</v>
      </c>
      <c r="V283" s="8">
        <f t="shared" si="108"/>
        <v>4</v>
      </c>
      <c r="W283">
        <f t="shared" si="109"/>
        <v>1</v>
      </c>
      <c r="Y283" t="str">
        <f t="shared" si="107"/>
        <v>joy</v>
      </c>
    </row>
    <row r="284" spans="2:25" x14ac:dyDescent="0.25">
      <c r="B284" s="5">
        <v>282</v>
      </c>
      <c r="C284" t="s">
        <v>3</v>
      </c>
      <c r="D284" t="s">
        <v>3</v>
      </c>
      <c r="E284" t="s">
        <v>5</v>
      </c>
      <c r="F284" t="s">
        <v>3</v>
      </c>
      <c r="G284" t="s">
        <v>1</v>
      </c>
      <c r="J284" s="15">
        <v>1</v>
      </c>
      <c r="K284" s="5">
        <v>282</v>
      </c>
      <c r="L284" s="8">
        <f t="shared" si="98"/>
        <v>3</v>
      </c>
      <c r="M284" s="8">
        <f t="shared" si="99"/>
        <v>1</v>
      </c>
      <c r="N284" s="8">
        <f t="shared" si="100"/>
        <v>0</v>
      </c>
      <c r="O284" s="8">
        <f t="shared" si="101"/>
        <v>0</v>
      </c>
      <c r="P284" s="8">
        <f t="shared" si="102"/>
        <v>1</v>
      </c>
      <c r="Q284" s="8">
        <f t="shared" si="103"/>
        <v>0</v>
      </c>
      <c r="R284" s="8">
        <f t="shared" si="104"/>
        <v>0</v>
      </c>
      <c r="S284" s="8">
        <f t="shared" si="105"/>
        <v>0</v>
      </c>
      <c r="T284" s="8">
        <f t="shared" si="106"/>
        <v>0</v>
      </c>
      <c r="V284" s="8">
        <f t="shared" si="108"/>
        <v>3</v>
      </c>
      <c r="W284">
        <f t="shared" si="109"/>
        <v>1</v>
      </c>
      <c r="Y284" t="str">
        <f t="shared" si="107"/>
        <v>joy</v>
      </c>
    </row>
    <row r="285" spans="2:25" x14ac:dyDescent="0.25">
      <c r="B285" s="5">
        <v>283</v>
      </c>
      <c r="C285" t="s">
        <v>2</v>
      </c>
      <c r="D285" t="s">
        <v>2</v>
      </c>
      <c r="E285" t="s">
        <v>3</v>
      </c>
      <c r="F285" t="s">
        <v>2</v>
      </c>
      <c r="G285" t="s">
        <v>2</v>
      </c>
      <c r="J285" s="15" t="s">
        <v>654</v>
      </c>
      <c r="K285" s="5">
        <v>283</v>
      </c>
      <c r="L285" s="8">
        <f t="shared" si="98"/>
        <v>1</v>
      </c>
      <c r="M285" s="8">
        <f t="shared" si="99"/>
        <v>0</v>
      </c>
      <c r="N285" s="8">
        <f t="shared" si="100"/>
        <v>0</v>
      </c>
      <c r="O285" s="8">
        <f t="shared" si="101"/>
        <v>0</v>
      </c>
      <c r="P285" s="8">
        <f t="shared" si="102"/>
        <v>0</v>
      </c>
      <c r="Q285" s="8">
        <f t="shared" si="103"/>
        <v>0</v>
      </c>
      <c r="R285" s="8">
        <f t="shared" si="104"/>
        <v>0</v>
      </c>
      <c r="S285" s="8">
        <f t="shared" si="105"/>
        <v>0</v>
      </c>
      <c r="T285" s="8">
        <f t="shared" si="106"/>
        <v>4</v>
      </c>
      <c r="V285" s="8">
        <f t="shared" si="108"/>
        <v>4</v>
      </c>
      <c r="W285">
        <f t="shared" si="109"/>
        <v>1</v>
      </c>
      <c r="Y285" t="str">
        <f t="shared" si="107"/>
        <v>AMBIGUOUS</v>
      </c>
    </row>
    <row r="286" spans="2:25" x14ac:dyDescent="0.25">
      <c r="B286" s="5">
        <v>284</v>
      </c>
      <c r="C286" t="s">
        <v>3</v>
      </c>
      <c r="D286" t="s">
        <v>3</v>
      </c>
      <c r="E286" t="s">
        <v>3</v>
      </c>
      <c r="F286" t="s">
        <v>3</v>
      </c>
      <c r="G286" t="s">
        <v>1</v>
      </c>
      <c r="J286" s="15" t="s">
        <v>654</v>
      </c>
      <c r="K286" s="5">
        <v>284</v>
      </c>
      <c r="L286" s="8">
        <f t="shared" si="98"/>
        <v>4</v>
      </c>
      <c r="M286" s="8">
        <f t="shared" si="99"/>
        <v>1</v>
      </c>
      <c r="N286" s="8">
        <f t="shared" si="100"/>
        <v>0</v>
      </c>
      <c r="O286" s="8">
        <f t="shared" si="101"/>
        <v>0</v>
      </c>
      <c r="P286" s="8">
        <f t="shared" si="102"/>
        <v>0</v>
      </c>
      <c r="Q286" s="8">
        <f t="shared" si="103"/>
        <v>0</v>
      </c>
      <c r="R286" s="8">
        <f t="shared" si="104"/>
        <v>0</v>
      </c>
      <c r="S286" s="8">
        <f t="shared" si="105"/>
        <v>0</v>
      </c>
      <c r="T286" s="8">
        <f t="shared" si="106"/>
        <v>0</v>
      </c>
      <c r="V286" s="8">
        <f t="shared" si="108"/>
        <v>4</v>
      </c>
      <c r="W286">
        <f t="shared" si="109"/>
        <v>1</v>
      </c>
      <c r="Y286" t="str">
        <f t="shared" si="107"/>
        <v>joy</v>
      </c>
    </row>
    <row r="287" spans="2:25" x14ac:dyDescent="0.25">
      <c r="B287" s="5">
        <v>285</v>
      </c>
      <c r="C287" t="s">
        <v>0</v>
      </c>
      <c r="D287" t="s">
        <v>0</v>
      </c>
      <c r="E287" t="s">
        <v>6</v>
      </c>
      <c r="F287" t="s">
        <v>0</v>
      </c>
      <c r="G287" t="s">
        <v>0</v>
      </c>
      <c r="J287" s="15" t="s">
        <v>654</v>
      </c>
      <c r="K287" s="5">
        <v>285</v>
      </c>
      <c r="L287" s="8">
        <f t="shared" si="98"/>
        <v>0</v>
      </c>
      <c r="M287" s="8">
        <f t="shared" si="99"/>
        <v>0</v>
      </c>
      <c r="N287" s="8">
        <f t="shared" si="100"/>
        <v>1</v>
      </c>
      <c r="O287" s="8">
        <f t="shared" si="101"/>
        <v>0</v>
      </c>
      <c r="P287" s="8">
        <f t="shared" si="102"/>
        <v>0</v>
      </c>
      <c r="Q287" s="8">
        <f t="shared" si="103"/>
        <v>4</v>
      </c>
      <c r="R287" s="8">
        <f t="shared" si="104"/>
        <v>0</v>
      </c>
      <c r="S287" s="8">
        <f t="shared" si="105"/>
        <v>0</v>
      </c>
      <c r="T287" s="8">
        <f t="shared" si="106"/>
        <v>0</v>
      </c>
      <c r="V287" s="8">
        <f t="shared" si="108"/>
        <v>4</v>
      </c>
      <c r="W287">
        <f t="shared" si="109"/>
        <v>1</v>
      </c>
      <c r="Y287" t="str">
        <f t="shared" si="107"/>
        <v>disgust</v>
      </c>
    </row>
    <row r="288" spans="2:25" x14ac:dyDescent="0.25">
      <c r="B288" s="5">
        <v>286</v>
      </c>
      <c r="C288" t="s">
        <v>3</v>
      </c>
      <c r="D288" t="s">
        <v>3</v>
      </c>
      <c r="E288" t="s">
        <v>3</v>
      </c>
      <c r="F288" t="s">
        <v>3</v>
      </c>
      <c r="G288" t="s">
        <v>1</v>
      </c>
      <c r="J288" s="15" t="s">
        <v>654</v>
      </c>
      <c r="K288" s="5">
        <v>286</v>
      </c>
      <c r="L288" s="8">
        <f t="shared" si="98"/>
        <v>4</v>
      </c>
      <c r="M288" s="8">
        <f t="shared" si="99"/>
        <v>1</v>
      </c>
      <c r="N288" s="8">
        <f t="shared" si="100"/>
        <v>0</v>
      </c>
      <c r="O288" s="8">
        <f t="shared" si="101"/>
        <v>0</v>
      </c>
      <c r="P288" s="8">
        <f t="shared" si="102"/>
        <v>0</v>
      </c>
      <c r="Q288" s="8">
        <f t="shared" si="103"/>
        <v>0</v>
      </c>
      <c r="R288" s="8">
        <f t="shared" si="104"/>
        <v>0</v>
      </c>
      <c r="S288" s="8">
        <f t="shared" si="105"/>
        <v>0</v>
      </c>
      <c r="T288" s="8">
        <f t="shared" si="106"/>
        <v>0</v>
      </c>
      <c r="V288" s="8">
        <f t="shared" si="108"/>
        <v>4</v>
      </c>
      <c r="W288">
        <f t="shared" si="109"/>
        <v>1</v>
      </c>
      <c r="Y288" t="str">
        <f t="shared" si="107"/>
        <v>joy</v>
      </c>
    </row>
    <row r="289" spans="2:25" x14ac:dyDescent="0.25">
      <c r="B289" s="5">
        <v>287</v>
      </c>
      <c r="C289" t="s">
        <v>2</v>
      </c>
      <c r="D289" t="s">
        <v>2</v>
      </c>
      <c r="E289" t="s">
        <v>3</v>
      </c>
      <c r="F289" t="s">
        <v>2</v>
      </c>
      <c r="G289" t="s">
        <v>2</v>
      </c>
      <c r="J289" s="15" t="s">
        <v>654</v>
      </c>
      <c r="K289" s="5">
        <v>287</v>
      </c>
      <c r="L289" s="8">
        <f t="shared" si="98"/>
        <v>1</v>
      </c>
      <c r="M289" s="8">
        <f t="shared" si="99"/>
        <v>0</v>
      </c>
      <c r="N289" s="8">
        <f t="shared" si="100"/>
        <v>0</v>
      </c>
      <c r="O289" s="8">
        <f t="shared" si="101"/>
        <v>0</v>
      </c>
      <c r="P289" s="8">
        <f t="shared" si="102"/>
        <v>0</v>
      </c>
      <c r="Q289" s="8">
        <f t="shared" si="103"/>
        <v>0</v>
      </c>
      <c r="R289" s="8">
        <f t="shared" si="104"/>
        <v>0</v>
      </c>
      <c r="S289" s="8">
        <f t="shared" si="105"/>
        <v>0</v>
      </c>
      <c r="T289" s="8">
        <f t="shared" si="106"/>
        <v>4</v>
      </c>
      <c r="V289" s="8">
        <f t="shared" si="108"/>
        <v>4</v>
      </c>
      <c r="W289">
        <f t="shared" si="109"/>
        <v>1</v>
      </c>
      <c r="Y289" t="str">
        <f t="shared" si="107"/>
        <v>AMBIGUOUS</v>
      </c>
    </row>
    <row r="290" spans="2:25" x14ac:dyDescent="0.25">
      <c r="B290" s="5">
        <v>288</v>
      </c>
      <c r="C290" t="s">
        <v>0</v>
      </c>
      <c r="D290" t="s">
        <v>6</v>
      </c>
      <c r="E290" t="s">
        <v>6</v>
      </c>
      <c r="F290" t="s">
        <v>6</v>
      </c>
      <c r="G290" t="s">
        <v>2</v>
      </c>
      <c r="J290" s="15">
        <v>1</v>
      </c>
      <c r="K290" s="5">
        <v>288</v>
      </c>
      <c r="L290" s="8">
        <f t="shared" si="98"/>
        <v>0</v>
      </c>
      <c r="M290" s="8">
        <f t="shared" si="99"/>
        <v>0</v>
      </c>
      <c r="N290" s="8">
        <f t="shared" si="100"/>
        <v>3</v>
      </c>
      <c r="O290" s="8">
        <f t="shared" si="101"/>
        <v>0</v>
      </c>
      <c r="P290" s="8">
        <f t="shared" si="102"/>
        <v>0</v>
      </c>
      <c r="Q290" s="8">
        <f t="shared" si="103"/>
        <v>1</v>
      </c>
      <c r="R290" s="8">
        <f t="shared" si="104"/>
        <v>0</v>
      </c>
      <c r="S290" s="8">
        <f t="shared" si="105"/>
        <v>0</v>
      </c>
      <c r="T290" s="8">
        <f t="shared" si="106"/>
        <v>1</v>
      </c>
      <c r="V290" s="8">
        <f t="shared" si="108"/>
        <v>3</v>
      </c>
      <c r="W290">
        <f t="shared" si="109"/>
        <v>1</v>
      </c>
      <c r="Y290" t="str">
        <f t="shared" si="107"/>
        <v>fear</v>
      </c>
    </row>
    <row r="291" spans="2:25" x14ac:dyDescent="0.25">
      <c r="B291" s="5">
        <v>289</v>
      </c>
      <c r="C291" t="s">
        <v>3</v>
      </c>
      <c r="D291" t="s">
        <v>3</v>
      </c>
      <c r="E291" t="s">
        <v>2</v>
      </c>
      <c r="F291" t="s">
        <v>3</v>
      </c>
      <c r="G291" t="s">
        <v>1</v>
      </c>
      <c r="J291" s="15">
        <v>1</v>
      </c>
      <c r="K291" s="5">
        <v>289</v>
      </c>
      <c r="L291" s="8">
        <f t="shared" si="98"/>
        <v>3</v>
      </c>
      <c r="M291" s="8">
        <f t="shared" si="99"/>
        <v>1</v>
      </c>
      <c r="N291" s="8">
        <f t="shared" si="100"/>
        <v>0</v>
      </c>
      <c r="O291" s="8">
        <f t="shared" si="101"/>
        <v>0</v>
      </c>
      <c r="P291" s="8">
        <f t="shared" si="102"/>
        <v>0</v>
      </c>
      <c r="Q291" s="8">
        <f t="shared" si="103"/>
        <v>0</v>
      </c>
      <c r="R291" s="8">
        <f t="shared" si="104"/>
        <v>0</v>
      </c>
      <c r="S291" s="8">
        <f t="shared" si="105"/>
        <v>0</v>
      </c>
      <c r="T291" s="8">
        <f t="shared" si="106"/>
        <v>1</v>
      </c>
      <c r="V291" s="8">
        <f t="shared" si="108"/>
        <v>3</v>
      </c>
      <c r="W291">
        <f t="shared" si="109"/>
        <v>1</v>
      </c>
      <c r="Y291" t="str">
        <f t="shared" si="107"/>
        <v>joy</v>
      </c>
    </row>
    <row r="292" spans="2:25" x14ac:dyDescent="0.25">
      <c r="B292" s="5">
        <v>290</v>
      </c>
      <c r="C292" t="s">
        <v>2</v>
      </c>
      <c r="D292" t="s">
        <v>3</v>
      </c>
      <c r="E292" t="s">
        <v>3</v>
      </c>
      <c r="F292" t="s">
        <v>3</v>
      </c>
      <c r="G292" t="s">
        <v>7</v>
      </c>
      <c r="J292" s="15">
        <v>1</v>
      </c>
      <c r="K292" s="5">
        <v>290</v>
      </c>
      <c r="L292" s="8">
        <f t="shared" si="98"/>
        <v>3</v>
      </c>
      <c r="M292" s="8">
        <f t="shared" si="99"/>
        <v>0</v>
      </c>
      <c r="N292" s="8">
        <f t="shared" si="100"/>
        <v>0</v>
      </c>
      <c r="O292" s="8">
        <f t="shared" si="101"/>
        <v>1</v>
      </c>
      <c r="P292" s="8">
        <f t="shared" si="102"/>
        <v>0</v>
      </c>
      <c r="Q292" s="8">
        <f t="shared" si="103"/>
        <v>0</v>
      </c>
      <c r="R292" s="8">
        <f t="shared" si="104"/>
        <v>0</v>
      </c>
      <c r="S292" s="8">
        <f t="shared" si="105"/>
        <v>0</v>
      </c>
      <c r="T292" s="8">
        <f t="shared" si="106"/>
        <v>1</v>
      </c>
      <c r="V292" s="8">
        <f t="shared" si="108"/>
        <v>3</v>
      </c>
      <c r="W292">
        <f t="shared" si="109"/>
        <v>1</v>
      </c>
      <c r="Y292" t="str">
        <f t="shared" si="107"/>
        <v>joy</v>
      </c>
    </row>
    <row r="293" spans="2:25" x14ac:dyDescent="0.25">
      <c r="B293" s="5">
        <v>291</v>
      </c>
      <c r="C293" t="s">
        <v>3</v>
      </c>
      <c r="D293" t="s">
        <v>0</v>
      </c>
      <c r="E293" t="s">
        <v>7</v>
      </c>
      <c r="F293" t="s">
        <v>0</v>
      </c>
      <c r="G293" t="s">
        <v>0</v>
      </c>
      <c r="J293" s="15">
        <v>1</v>
      </c>
      <c r="K293" s="5">
        <v>291</v>
      </c>
      <c r="L293" s="8">
        <f t="shared" si="98"/>
        <v>1</v>
      </c>
      <c r="M293" s="8">
        <f t="shared" si="99"/>
        <v>0</v>
      </c>
      <c r="N293" s="8">
        <f t="shared" si="100"/>
        <v>0</v>
      </c>
      <c r="O293" s="8">
        <f t="shared" si="101"/>
        <v>1</v>
      </c>
      <c r="P293" s="8">
        <f t="shared" si="102"/>
        <v>0</v>
      </c>
      <c r="Q293" s="8">
        <f t="shared" si="103"/>
        <v>3</v>
      </c>
      <c r="R293" s="8">
        <f t="shared" si="104"/>
        <v>0</v>
      </c>
      <c r="S293" s="8">
        <f t="shared" si="105"/>
        <v>0</v>
      </c>
      <c r="T293" s="8">
        <f t="shared" si="106"/>
        <v>0</v>
      </c>
      <c r="V293" s="8">
        <f t="shared" si="108"/>
        <v>3</v>
      </c>
      <c r="W293">
        <f t="shared" si="109"/>
        <v>1</v>
      </c>
      <c r="Y293" t="str">
        <f t="shared" si="107"/>
        <v>disgust</v>
      </c>
    </row>
    <row r="294" spans="2:25" x14ac:dyDescent="0.25">
      <c r="B294" s="5">
        <v>292</v>
      </c>
      <c r="C294" t="s">
        <v>6</v>
      </c>
      <c r="D294" t="s">
        <v>6</v>
      </c>
      <c r="E294" t="s">
        <v>5</v>
      </c>
      <c r="F294" t="s">
        <v>6</v>
      </c>
      <c r="G294" t="s">
        <v>8</v>
      </c>
      <c r="J294" s="15">
        <v>1</v>
      </c>
      <c r="K294" s="5">
        <v>292</v>
      </c>
      <c r="L294" s="8">
        <f t="shared" si="98"/>
        <v>0</v>
      </c>
      <c r="M294" s="8">
        <f t="shared" si="99"/>
        <v>0</v>
      </c>
      <c r="N294" s="8">
        <f t="shared" si="100"/>
        <v>3</v>
      </c>
      <c r="O294" s="8">
        <f t="shared" si="101"/>
        <v>0</v>
      </c>
      <c r="P294" s="8">
        <f t="shared" si="102"/>
        <v>1</v>
      </c>
      <c r="Q294" s="8">
        <f t="shared" si="103"/>
        <v>0</v>
      </c>
      <c r="R294" s="8">
        <f t="shared" si="104"/>
        <v>0</v>
      </c>
      <c r="S294" s="8">
        <f t="shared" si="105"/>
        <v>1</v>
      </c>
      <c r="T294" s="8">
        <f t="shared" si="106"/>
        <v>0</v>
      </c>
      <c r="V294" s="8">
        <f t="shared" si="108"/>
        <v>3</v>
      </c>
      <c r="W294">
        <f t="shared" si="109"/>
        <v>1</v>
      </c>
      <c r="Y294" t="str">
        <f t="shared" si="107"/>
        <v>fear</v>
      </c>
    </row>
    <row r="295" spans="2:25" x14ac:dyDescent="0.25">
      <c r="B295" s="5">
        <v>293</v>
      </c>
      <c r="C295" t="s">
        <v>3</v>
      </c>
      <c r="D295" t="s">
        <v>3</v>
      </c>
      <c r="E295" t="s">
        <v>3</v>
      </c>
      <c r="F295" t="s">
        <v>3</v>
      </c>
      <c r="G295" t="s">
        <v>8</v>
      </c>
      <c r="J295" s="15" t="s">
        <v>654</v>
      </c>
      <c r="K295" s="5">
        <v>293</v>
      </c>
      <c r="L295" s="8">
        <f t="shared" si="98"/>
        <v>4</v>
      </c>
      <c r="M295" s="8">
        <f t="shared" si="99"/>
        <v>0</v>
      </c>
      <c r="N295" s="8">
        <f t="shared" si="100"/>
        <v>0</v>
      </c>
      <c r="O295" s="8">
        <f t="shared" si="101"/>
        <v>0</v>
      </c>
      <c r="P295" s="8">
        <f t="shared" si="102"/>
        <v>0</v>
      </c>
      <c r="Q295" s="8">
        <f t="shared" si="103"/>
        <v>0</v>
      </c>
      <c r="R295" s="8">
        <f t="shared" si="104"/>
        <v>0</v>
      </c>
      <c r="S295" s="8">
        <f t="shared" si="105"/>
        <v>1</v>
      </c>
      <c r="T295" s="8">
        <f t="shared" si="106"/>
        <v>0</v>
      </c>
      <c r="V295" s="8">
        <f t="shared" si="108"/>
        <v>4</v>
      </c>
      <c r="W295">
        <f t="shared" si="109"/>
        <v>1</v>
      </c>
      <c r="Y295" t="str">
        <f t="shared" si="107"/>
        <v>joy</v>
      </c>
    </row>
    <row r="296" spans="2:25" x14ac:dyDescent="0.25">
      <c r="B296" s="5">
        <v>294</v>
      </c>
      <c r="C296" t="s">
        <v>3</v>
      </c>
      <c r="D296" t="s">
        <v>6</v>
      </c>
      <c r="E296" t="s">
        <v>6</v>
      </c>
      <c r="F296" t="s">
        <v>6</v>
      </c>
      <c r="G296" t="s">
        <v>5</v>
      </c>
      <c r="J296" s="15">
        <v>1</v>
      </c>
      <c r="K296" s="5">
        <v>294</v>
      </c>
      <c r="L296" s="8">
        <f t="shared" si="98"/>
        <v>1</v>
      </c>
      <c r="M296" s="8">
        <f t="shared" si="99"/>
        <v>0</v>
      </c>
      <c r="N296" s="8">
        <f t="shared" si="100"/>
        <v>3</v>
      </c>
      <c r="O296" s="8">
        <f t="shared" si="101"/>
        <v>0</v>
      </c>
      <c r="P296" s="8">
        <f t="shared" si="102"/>
        <v>1</v>
      </c>
      <c r="Q296" s="8">
        <f t="shared" si="103"/>
        <v>0</v>
      </c>
      <c r="R296" s="8">
        <f t="shared" si="104"/>
        <v>0</v>
      </c>
      <c r="S296" s="8">
        <f t="shared" si="105"/>
        <v>0</v>
      </c>
      <c r="T296" s="8">
        <f t="shared" si="106"/>
        <v>0</v>
      </c>
      <c r="V296" s="8">
        <f t="shared" si="108"/>
        <v>3</v>
      </c>
      <c r="W296">
        <f t="shared" si="109"/>
        <v>1</v>
      </c>
      <c r="Y296" t="str">
        <f t="shared" si="107"/>
        <v>fear</v>
      </c>
    </row>
    <row r="297" spans="2:25" x14ac:dyDescent="0.25">
      <c r="B297" s="5">
        <v>295</v>
      </c>
      <c r="C297" t="s">
        <v>3</v>
      </c>
      <c r="D297" t="s">
        <v>5</v>
      </c>
      <c r="E297" t="s">
        <v>5</v>
      </c>
      <c r="F297" t="s">
        <v>5</v>
      </c>
      <c r="G297" t="s">
        <v>5</v>
      </c>
      <c r="J297" s="15" t="s">
        <v>654</v>
      </c>
      <c r="K297" s="5">
        <v>295</v>
      </c>
      <c r="L297" s="8">
        <f t="shared" si="98"/>
        <v>1</v>
      </c>
      <c r="M297" s="8">
        <f t="shared" si="99"/>
        <v>0</v>
      </c>
      <c r="N297" s="8">
        <f t="shared" si="100"/>
        <v>0</v>
      </c>
      <c r="O297" s="8">
        <f t="shared" si="101"/>
        <v>0</v>
      </c>
      <c r="P297" s="8">
        <f t="shared" si="102"/>
        <v>4</v>
      </c>
      <c r="Q297" s="8">
        <f t="shared" si="103"/>
        <v>0</v>
      </c>
      <c r="R297" s="8">
        <f t="shared" si="104"/>
        <v>0</v>
      </c>
      <c r="S297" s="8">
        <f t="shared" si="105"/>
        <v>0</v>
      </c>
      <c r="T297" s="8">
        <f t="shared" si="106"/>
        <v>0</v>
      </c>
      <c r="V297" s="8">
        <f t="shared" si="108"/>
        <v>4</v>
      </c>
      <c r="W297">
        <f t="shared" si="109"/>
        <v>1</v>
      </c>
      <c r="Y297" t="str">
        <f t="shared" si="107"/>
        <v>sadness</v>
      </c>
    </row>
    <row r="298" spans="2:25" x14ac:dyDescent="0.25">
      <c r="B298" s="5">
        <v>296</v>
      </c>
      <c r="C298" t="s">
        <v>3</v>
      </c>
      <c r="D298" t="s">
        <v>3</v>
      </c>
      <c r="E298" t="s">
        <v>3</v>
      </c>
      <c r="F298" t="s">
        <v>3</v>
      </c>
      <c r="G298" t="s">
        <v>5</v>
      </c>
      <c r="J298" s="15" t="s">
        <v>654</v>
      </c>
      <c r="K298" s="5">
        <v>296</v>
      </c>
      <c r="L298" s="8">
        <f t="shared" si="98"/>
        <v>4</v>
      </c>
      <c r="M298" s="8">
        <f t="shared" si="99"/>
        <v>0</v>
      </c>
      <c r="N298" s="8">
        <f t="shared" si="100"/>
        <v>0</v>
      </c>
      <c r="O298" s="8">
        <f t="shared" si="101"/>
        <v>0</v>
      </c>
      <c r="P298" s="8">
        <f t="shared" si="102"/>
        <v>1</v>
      </c>
      <c r="Q298" s="8">
        <f t="shared" si="103"/>
        <v>0</v>
      </c>
      <c r="R298" s="8">
        <f t="shared" si="104"/>
        <v>0</v>
      </c>
      <c r="S298" s="8">
        <f t="shared" si="105"/>
        <v>0</v>
      </c>
      <c r="T298" s="8">
        <f t="shared" si="106"/>
        <v>0</v>
      </c>
      <c r="V298" s="8">
        <f t="shared" si="108"/>
        <v>4</v>
      </c>
      <c r="W298">
        <f t="shared" si="109"/>
        <v>1</v>
      </c>
      <c r="Y298" t="str">
        <f t="shared" si="107"/>
        <v>joy</v>
      </c>
    </row>
    <row r="299" spans="2:25" x14ac:dyDescent="0.25">
      <c r="B299" s="5">
        <v>297</v>
      </c>
      <c r="C299" t="s">
        <v>3</v>
      </c>
      <c r="D299" t="s">
        <v>3</v>
      </c>
      <c r="E299" t="s">
        <v>3</v>
      </c>
      <c r="F299" t="s">
        <v>3</v>
      </c>
      <c r="G299" t="s">
        <v>7</v>
      </c>
      <c r="J299" s="15" t="s">
        <v>654</v>
      </c>
      <c r="K299" s="5">
        <v>297</v>
      </c>
      <c r="L299" s="8">
        <f t="shared" si="98"/>
        <v>4</v>
      </c>
      <c r="M299" s="8">
        <f t="shared" si="99"/>
        <v>0</v>
      </c>
      <c r="N299" s="8">
        <f t="shared" si="100"/>
        <v>0</v>
      </c>
      <c r="O299" s="8">
        <f t="shared" si="101"/>
        <v>1</v>
      </c>
      <c r="P299" s="8">
        <f t="shared" si="102"/>
        <v>0</v>
      </c>
      <c r="Q299" s="8">
        <f t="shared" si="103"/>
        <v>0</v>
      </c>
      <c r="R299" s="8">
        <f t="shared" si="104"/>
        <v>0</v>
      </c>
      <c r="S299" s="8">
        <f t="shared" si="105"/>
        <v>0</v>
      </c>
      <c r="T299" s="8">
        <f t="shared" si="106"/>
        <v>0</v>
      </c>
      <c r="V299" s="8">
        <f t="shared" si="108"/>
        <v>4</v>
      </c>
      <c r="W299">
        <f t="shared" si="109"/>
        <v>1</v>
      </c>
      <c r="Y299" t="str">
        <f t="shared" si="107"/>
        <v>joy</v>
      </c>
    </row>
    <row r="300" spans="2:25" x14ac:dyDescent="0.25">
      <c r="B300" s="5">
        <v>298</v>
      </c>
      <c r="C300" t="s">
        <v>0</v>
      </c>
      <c r="D300" t="s">
        <v>1</v>
      </c>
      <c r="E300" t="s">
        <v>2</v>
      </c>
      <c r="F300" t="s">
        <v>1</v>
      </c>
      <c r="G300" t="s">
        <v>1</v>
      </c>
      <c r="J300" s="15">
        <v>1</v>
      </c>
      <c r="K300" s="5">
        <v>298</v>
      </c>
      <c r="L300" s="8">
        <f t="shared" si="98"/>
        <v>0</v>
      </c>
      <c r="M300" s="8">
        <f t="shared" si="99"/>
        <v>3</v>
      </c>
      <c r="N300" s="8">
        <f t="shared" si="100"/>
        <v>0</v>
      </c>
      <c r="O300" s="8">
        <f t="shared" si="101"/>
        <v>0</v>
      </c>
      <c r="P300" s="8">
        <f t="shared" si="102"/>
        <v>0</v>
      </c>
      <c r="Q300" s="8">
        <f t="shared" si="103"/>
        <v>1</v>
      </c>
      <c r="R300" s="8">
        <f t="shared" si="104"/>
        <v>0</v>
      </c>
      <c r="S300" s="8">
        <f t="shared" si="105"/>
        <v>0</v>
      </c>
      <c r="T300" s="8">
        <f t="shared" si="106"/>
        <v>1</v>
      </c>
      <c r="V300" s="8">
        <f t="shared" si="108"/>
        <v>3</v>
      </c>
      <c r="W300">
        <f t="shared" si="109"/>
        <v>1</v>
      </c>
      <c r="Y300" t="str">
        <f t="shared" si="107"/>
        <v>trust</v>
      </c>
    </row>
    <row r="301" spans="2:25" x14ac:dyDescent="0.25">
      <c r="B301" s="5">
        <v>299</v>
      </c>
      <c r="C301" t="s">
        <v>6</v>
      </c>
      <c r="D301" t="s">
        <v>2</v>
      </c>
      <c r="E301" t="s">
        <v>2</v>
      </c>
      <c r="F301" t="s">
        <v>2</v>
      </c>
      <c r="G301" t="s">
        <v>1</v>
      </c>
      <c r="J301" s="15">
        <v>1</v>
      </c>
      <c r="K301" s="5">
        <v>299</v>
      </c>
      <c r="L301" s="8">
        <f t="shared" si="98"/>
        <v>0</v>
      </c>
      <c r="M301" s="8">
        <f t="shared" si="99"/>
        <v>1</v>
      </c>
      <c r="N301" s="8">
        <f t="shared" si="100"/>
        <v>1</v>
      </c>
      <c r="O301" s="8">
        <f t="shared" si="101"/>
        <v>0</v>
      </c>
      <c r="P301" s="8">
        <f t="shared" si="102"/>
        <v>0</v>
      </c>
      <c r="Q301" s="8">
        <f t="shared" si="103"/>
        <v>0</v>
      </c>
      <c r="R301" s="8">
        <f t="shared" si="104"/>
        <v>0</v>
      </c>
      <c r="S301" s="8">
        <f t="shared" si="105"/>
        <v>0</v>
      </c>
      <c r="T301" s="8">
        <f t="shared" si="106"/>
        <v>3</v>
      </c>
      <c r="V301" s="8">
        <f t="shared" si="108"/>
        <v>3</v>
      </c>
      <c r="W301">
        <f t="shared" si="109"/>
        <v>1</v>
      </c>
      <c r="Y301" t="str">
        <f t="shared" si="107"/>
        <v>AMBIGUOUS</v>
      </c>
    </row>
    <row r="302" spans="2:25" x14ac:dyDescent="0.25">
      <c r="B302" s="5">
        <v>300</v>
      </c>
      <c r="C302" t="s">
        <v>6</v>
      </c>
      <c r="D302" t="s">
        <v>6</v>
      </c>
      <c r="E302" t="s">
        <v>2</v>
      </c>
      <c r="F302" t="s">
        <v>6</v>
      </c>
      <c r="G302" t="s">
        <v>7</v>
      </c>
      <c r="J302" s="15">
        <v>1</v>
      </c>
      <c r="K302" s="5">
        <v>300</v>
      </c>
      <c r="L302" s="8">
        <f t="shared" si="98"/>
        <v>0</v>
      </c>
      <c r="M302" s="8">
        <f t="shared" si="99"/>
        <v>0</v>
      </c>
      <c r="N302" s="8">
        <f t="shared" si="100"/>
        <v>3</v>
      </c>
      <c r="O302" s="8">
        <f t="shared" si="101"/>
        <v>1</v>
      </c>
      <c r="P302" s="8">
        <f t="shared" si="102"/>
        <v>0</v>
      </c>
      <c r="Q302" s="8">
        <f t="shared" si="103"/>
        <v>0</v>
      </c>
      <c r="R302" s="8">
        <f t="shared" si="104"/>
        <v>0</v>
      </c>
      <c r="S302" s="8">
        <f t="shared" si="105"/>
        <v>0</v>
      </c>
      <c r="T302" s="8">
        <f t="shared" si="106"/>
        <v>1</v>
      </c>
      <c r="V302" s="8">
        <f t="shared" si="108"/>
        <v>3</v>
      </c>
      <c r="W302">
        <f t="shared" si="109"/>
        <v>1</v>
      </c>
      <c r="Y302" t="str">
        <f t="shared" si="107"/>
        <v>fear</v>
      </c>
    </row>
    <row r="303" spans="2:25" x14ac:dyDescent="0.25">
      <c r="B303" s="5">
        <v>301</v>
      </c>
      <c r="C303" t="s">
        <v>3</v>
      </c>
      <c r="D303" t="s">
        <v>3</v>
      </c>
      <c r="E303" t="s">
        <v>3</v>
      </c>
      <c r="F303" t="s">
        <v>3</v>
      </c>
      <c r="G303" t="s">
        <v>5</v>
      </c>
      <c r="J303" s="15">
        <v>1</v>
      </c>
      <c r="K303" s="5">
        <v>301</v>
      </c>
      <c r="L303" s="8">
        <f t="shared" si="98"/>
        <v>4</v>
      </c>
      <c r="M303" s="8">
        <f t="shared" si="99"/>
        <v>0</v>
      </c>
      <c r="N303" s="8">
        <f t="shared" si="100"/>
        <v>0</v>
      </c>
      <c r="O303" s="8">
        <f t="shared" si="101"/>
        <v>0</v>
      </c>
      <c r="P303" s="8">
        <f t="shared" si="102"/>
        <v>1</v>
      </c>
      <c r="Q303" s="8">
        <f t="shared" si="103"/>
        <v>0</v>
      </c>
      <c r="R303" s="8">
        <f t="shared" si="104"/>
        <v>0</v>
      </c>
      <c r="S303" s="8">
        <f t="shared" si="105"/>
        <v>0</v>
      </c>
      <c r="T303" s="8">
        <f t="shared" si="106"/>
        <v>0</v>
      </c>
      <c r="V303" s="8">
        <f t="shared" si="108"/>
        <v>4</v>
      </c>
      <c r="W303">
        <f t="shared" si="109"/>
        <v>1</v>
      </c>
      <c r="Y303" t="str">
        <f t="shared" si="107"/>
        <v>joy</v>
      </c>
    </row>
    <row r="304" spans="2:25" x14ac:dyDescent="0.25">
      <c r="B304" s="5">
        <v>302</v>
      </c>
      <c r="C304" t="s">
        <v>3</v>
      </c>
      <c r="D304" t="s">
        <v>2</v>
      </c>
      <c r="E304" t="s">
        <v>2</v>
      </c>
      <c r="F304" t="s">
        <v>2</v>
      </c>
      <c r="G304" t="s">
        <v>7</v>
      </c>
      <c r="J304" s="15">
        <v>1</v>
      </c>
      <c r="K304" s="5">
        <v>302</v>
      </c>
      <c r="L304" s="8">
        <f t="shared" si="98"/>
        <v>1</v>
      </c>
      <c r="M304" s="8">
        <f t="shared" si="99"/>
        <v>0</v>
      </c>
      <c r="N304" s="8">
        <f t="shared" si="100"/>
        <v>0</v>
      </c>
      <c r="O304" s="8">
        <f t="shared" si="101"/>
        <v>1</v>
      </c>
      <c r="P304" s="8">
        <f t="shared" si="102"/>
        <v>0</v>
      </c>
      <c r="Q304" s="8">
        <f t="shared" si="103"/>
        <v>0</v>
      </c>
      <c r="R304" s="8">
        <f t="shared" si="104"/>
        <v>0</v>
      </c>
      <c r="S304" s="8">
        <f t="shared" si="105"/>
        <v>0</v>
      </c>
      <c r="T304" s="8">
        <f t="shared" si="106"/>
        <v>3</v>
      </c>
      <c r="V304" s="8">
        <f t="shared" si="108"/>
        <v>3</v>
      </c>
      <c r="W304">
        <f t="shared" si="109"/>
        <v>1</v>
      </c>
      <c r="Y304" t="str">
        <f t="shared" si="107"/>
        <v>AMBIGUOUS</v>
      </c>
    </row>
    <row r="305" spans="2:25" x14ac:dyDescent="0.25">
      <c r="B305" s="5">
        <v>303</v>
      </c>
      <c r="C305" t="s">
        <v>3</v>
      </c>
      <c r="D305" t="s">
        <v>3</v>
      </c>
      <c r="E305" t="s">
        <v>3</v>
      </c>
      <c r="F305" t="s">
        <v>3</v>
      </c>
      <c r="G305" t="s">
        <v>7</v>
      </c>
      <c r="J305" s="15"/>
      <c r="K305" s="5">
        <v>303</v>
      </c>
      <c r="L305" s="8">
        <f t="shared" si="98"/>
        <v>4</v>
      </c>
      <c r="M305" s="8">
        <f t="shared" si="99"/>
        <v>0</v>
      </c>
      <c r="N305" s="8">
        <f t="shared" si="100"/>
        <v>0</v>
      </c>
      <c r="O305" s="8">
        <f t="shared" si="101"/>
        <v>1</v>
      </c>
      <c r="P305" s="8">
        <f t="shared" si="102"/>
        <v>0</v>
      </c>
      <c r="Q305" s="8">
        <f t="shared" si="103"/>
        <v>0</v>
      </c>
      <c r="R305" s="8">
        <f t="shared" si="104"/>
        <v>0</v>
      </c>
      <c r="S305" s="8">
        <f t="shared" si="105"/>
        <v>0</v>
      </c>
      <c r="T305" s="8">
        <f t="shared" si="106"/>
        <v>0</v>
      </c>
      <c r="V305" s="8">
        <f t="shared" si="108"/>
        <v>4</v>
      </c>
      <c r="W305">
        <f t="shared" si="109"/>
        <v>1</v>
      </c>
      <c r="Y305" t="str">
        <f t="shared" si="107"/>
        <v>joy</v>
      </c>
    </row>
    <row r="306" spans="2:25" x14ac:dyDescent="0.25">
      <c r="B306" s="5">
        <v>304</v>
      </c>
      <c r="C306" t="s">
        <v>6</v>
      </c>
      <c r="D306" t="s">
        <v>5</v>
      </c>
      <c r="E306" t="s">
        <v>5</v>
      </c>
      <c r="F306" t="s">
        <v>5</v>
      </c>
      <c r="G306" t="s">
        <v>3</v>
      </c>
      <c r="J306" s="15">
        <v>1</v>
      </c>
      <c r="K306" s="5">
        <v>304</v>
      </c>
      <c r="L306" s="8">
        <f t="shared" si="98"/>
        <v>1</v>
      </c>
      <c r="M306" s="8">
        <f t="shared" si="99"/>
        <v>0</v>
      </c>
      <c r="N306" s="8">
        <f t="shared" si="100"/>
        <v>1</v>
      </c>
      <c r="O306" s="8">
        <f t="shared" si="101"/>
        <v>0</v>
      </c>
      <c r="P306" s="8">
        <f t="shared" si="102"/>
        <v>3</v>
      </c>
      <c r="Q306" s="8">
        <f t="shared" si="103"/>
        <v>0</v>
      </c>
      <c r="R306" s="8">
        <f t="shared" si="104"/>
        <v>0</v>
      </c>
      <c r="S306" s="8">
        <f t="shared" si="105"/>
        <v>0</v>
      </c>
      <c r="T306" s="8">
        <f t="shared" si="106"/>
        <v>0</v>
      </c>
      <c r="V306" s="8">
        <f t="shared" si="108"/>
        <v>3</v>
      </c>
      <c r="W306">
        <f t="shared" si="109"/>
        <v>1</v>
      </c>
      <c r="Y306" t="str">
        <f t="shared" si="107"/>
        <v>sadness</v>
      </c>
    </row>
    <row r="307" spans="2:25" x14ac:dyDescent="0.25">
      <c r="B307" s="5">
        <v>305</v>
      </c>
      <c r="C307" t="s">
        <v>3</v>
      </c>
      <c r="D307" t="s">
        <v>2</v>
      </c>
      <c r="E307" t="s">
        <v>2</v>
      </c>
      <c r="F307" t="s">
        <v>2</v>
      </c>
      <c r="G307" t="s">
        <v>2</v>
      </c>
      <c r="J307" s="15" t="s">
        <v>654</v>
      </c>
      <c r="K307" s="5">
        <v>305</v>
      </c>
      <c r="L307" s="8">
        <f t="shared" si="98"/>
        <v>1</v>
      </c>
      <c r="M307" s="8">
        <f t="shared" si="99"/>
        <v>0</v>
      </c>
      <c r="N307" s="8">
        <f t="shared" si="100"/>
        <v>0</v>
      </c>
      <c r="O307" s="8">
        <f t="shared" si="101"/>
        <v>0</v>
      </c>
      <c r="P307" s="8">
        <f t="shared" si="102"/>
        <v>0</v>
      </c>
      <c r="Q307" s="8">
        <f t="shared" si="103"/>
        <v>0</v>
      </c>
      <c r="R307" s="8">
        <f t="shared" si="104"/>
        <v>0</v>
      </c>
      <c r="S307" s="8">
        <f t="shared" si="105"/>
        <v>0</v>
      </c>
      <c r="T307" s="8">
        <f t="shared" si="106"/>
        <v>4</v>
      </c>
      <c r="V307" s="8">
        <f t="shared" si="108"/>
        <v>4</v>
      </c>
      <c r="W307">
        <f t="shared" si="109"/>
        <v>1</v>
      </c>
      <c r="Y307" t="str">
        <f t="shared" si="107"/>
        <v>AMBIGUOUS</v>
      </c>
    </row>
    <row r="308" spans="2:25" x14ac:dyDescent="0.25">
      <c r="B308" s="5">
        <v>306</v>
      </c>
      <c r="C308" t="s">
        <v>3</v>
      </c>
      <c r="D308" t="s">
        <v>5</v>
      </c>
      <c r="E308" t="s">
        <v>2</v>
      </c>
      <c r="F308" t="s">
        <v>5</v>
      </c>
      <c r="G308" t="s">
        <v>5</v>
      </c>
      <c r="J308" s="15">
        <v>1</v>
      </c>
      <c r="K308" s="5">
        <v>306</v>
      </c>
      <c r="L308" s="8">
        <f t="shared" si="98"/>
        <v>1</v>
      </c>
      <c r="M308" s="8">
        <f t="shared" si="99"/>
        <v>0</v>
      </c>
      <c r="N308" s="8">
        <f t="shared" si="100"/>
        <v>0</v>
      </c>
      <c r="O308" s="8">
        <f t="shared" si="101"/>
        <v>0</v>
      </c>
      <c r="P308" s="8">
        <f t="shared" si="102"/>
        <v>3</v>
      </c>
      <c r="Q308" s="8">
        <f t="shared" si="103"/>
        <v>0</v>
      </c>
      <c r="R308" s="8">
        <f t="shared" si="104"/>
        <v>0</v>
      </c>
      <c r="S308" s="8">
        <f t="shared" si="105"/>
        <v>0</v>
      </c>
      <c r="T308" s="8">
        <f t="shared" si="106"/>
        <v>1</v>
      </c>
      <c r="V308" s="8">
        <f t="shared" si="108"/>
        <v>3</v>
      </c>
      <c r="W308">
        <f t="shared" si="109"/>
        <v>1</v>
      </c>
      <c r="Y308" t="str">
        <f t="shared" si="107"/>
        <v>sadness</v>
      </c>
    </row>
    <row r="309" spans="2:25" x14ac:dyDescent="0.25">
      <c r="B309" s="5">
        <v>307</v>
      </c>
      <c r="C309" t="s">
        <v>6</v>
      </c>
      <c r="D309" t="s">
        <v>5</v>
      </c>
      <c r="E309" t="s">
        <v>5</v>
      </c>
      <c r="F309" t="s">
        <v>5</v>
      </c>
      <c r="G309" t="s">
        <v>2</v>
      </c>
      <c r="J309" s="15">
        <v>1</v>
      </c>
      <c r="K309" s="5">
        <v>307</v>
      </c>
      <c r="L309" s="8">
        <f t="shared" si="98"/>
        <v>0</v>
      </c>
      <c r="M309" s="8">
        <f t="shared" si="99"/>
        <v>0</v>
      </c>
      <c r="N309" s="8">
        <f t="shared" si="100"/>
        <v>1</v>
      </c>
      <c r="O309" s="8">
        <f t="shared" si="101"/>
        <v>0</v>
      </c>
      <c r="P309" s="8">
        <f t="shared" si="102"/>
        <v>3</v>
      </c>
      <c r="Q309" s="8">
        <f t="shared" si="103"/>
        <v>0</v>
      </c>
      <c r="R309" s="8">
        <f t="shared" si="104"/>
        <v>0</v>
      </c>
      <c r="S309" s="8">
        <f t="shared" si="105"/>
        <v>0</v>
      </c>
      <c r="T309" s="8">
        <f t="shared" si="106"/>
        <v>1</v>
      </c>
      <c r="V309" s="8">
        <f t="shared" si="108"/>
        <v>3</v>
      </c>
      <c r="W309">
        <f t="shared" si="109"/>
        <v>1</v>
      </c>
      <c r="Y309" t="str">
        <f t="shared" si="107"/>
        <v>sadness</v>
      </c>
    </row>
    <row r="310" spans="2:25" x14ac:dyDescent="0.25">
      <c r="B310" s="5">
        <v>308</v>
      </c>
      <c r="C310" t="s">
        <v>1</v>
      </c>
      <c r="D310" t="s">
        <v>5</v>
      </c>
      <c r="E310" t="s">
        <v>5</v>
      </c>
      <c r="F310" t="s">
        <v>5</v>
      </c>
      <c r="G310" t="s">
        <v>7</v>
      </c>
      <c r="J310" s="15">
        <v>1</v>
      </c>
      <c r="K310" s="5">
        <v>308</v>
      </c>
      <c r="L310" s="8">
        <f t="shared" si="98"/>
        <v>0</v>
      </c>
      <c r="M310" s="8">
        <f t="shared" si="99"/>
        <v>1</v>
      </c>
      <c r="N310" s="8">
        <f t="shared" si="100"/>
        <v>0</v>
      </c>
      <c r="O310" s="8">
        <f t="shared" si="101"/>
        <v>1</v>
      </c>
      <c r="P310" s="8">
        <f t="shared" si="102"/>
        <v>3</v>
      </c>
      <c r="Q310" s="8">
        <f t="shared" si="103"/>
        <v>0</v>
      </c>
      <c r="R310" s="8">
        <f t="shared" si="104"/>
        <v>0</v>
      </c>
      <c r="S310" s="8">
        <f t="shared" si="105"/>
        <v>0</v>
      </c>
      <c r="T310" s="8">
        <f t="shared" si="106"/>
        <v>0</v>
      </c>
      <c r="V310" s="8">
        <f t="shared" si="108"/>
        <v>3</v>
      </c>
      <c r="W310">
        <f t="shared" si="109"/>
        <v>1</v>
      </c>
      <c r="Y310" t="str">
        <f t="shared" si="107"/>
        <v>sadness</v>
      </c>
    </row>
    <row r="311" spans="2:25" x14ac:dyDescent="0.25">
      <c r="B311" s="5">
        <v>309</v>
      </c>
      <c r="C311" t="s">
        <v>6</v>
      </c>
      <c r="D311" t="s">
        <v>5</v>
      </c>
      <c r="E311" t="s">
        <v>5</v>
      </c>
      <c r="F311" t="s">
        <v>5</v>
      </c>
      <c r="G311" t="s">
        <v>7</v>
      </c>
      <c r="J311" s="15">
        <v>1</v>
      </c>
      <c r="K311" s="5">
        <v>309</v>
      </c>
      <c r="L311" s="8">
        <f t="shared" si="98"/>
        <v>0</v>
      </c>
      <c r="M311" s="8">
        <f t="shared" si="99"/>
        <v>0</v>
      </c>
      <c r="N311" s="8">
        <f t="shared" si="100"/>
        <v>1</v>
      </c>
      <c r="O311" s="8">
        <f t="shared" si="101"/>
        <v>1</v>
      </c>
      <c r="P311" s="8">
        <f t="shared" si="102"/>
        <v>3</v>
      </c>
      <c r="Q311" s="8">
        <f t="shared" si="103"/>
        <v>0</v>
      </c>
      <c r="R311" s="8">
        <f t="shared" si="104"/>
        <v>0</v>
      </c>
      <c r="S311" s="8">
        <f t="shared" si="105"/>
        <v>0</v>
      </c>
      <c r="T311" s="8">
        <f t="shared" si="106"/>
        <v>0</v>
      </c>
      <c r="V311" s="8">
        <f t="shared" ref="V311:V339" si="110">MAX(L311:T311)</f>
        <v>3</v>
      </c>
      <c r="W311">
        <f t="shared" ref="W311:W339" si="111">COUNTIF(L311:T311, "=" &amp; V311)</f>
        <v>1</v>
      </c>
      <c r="Y311" t="str">
        <f t="shared" ref="Y311:Y339" si="112">INDEX($L$2:$T$2,MATCH(MAX(L311:T311),L311:T311,0))</f>
        <v>sadness</v>
      </c>
    </row>
    <row r="312" spans="2:25" x14ac:dyDescent="0.25">
      <c r="B312" s="5">
        <v>310</v>
      </c>
      <c r="C312" t="s">
        <v>6</v>
      </c>
      <c r="D312" t="s">
        <v>1</v>
      </c>
      <c r="E312" t="s">
        <v>5</v>
      </c>
      <c r="F312" t="s">
        <v>1</v>
      </c>
      <c r="G312" t="s">
        <v>1</v>
      </c>
      <c r="H312">
        <f>COUNTIFS(J3:J310, "&lt;&gt;1")</f>
        <v>149</v>
      </c>
      <c r="J312" s="15">
        <v>1</v>
      </c>
      <c r="K312" s="5">
        <v>310</v>
      </c>
      <c r="L312" s="8">
        <f t="shared" si="98"/>
        <v>0</v>
      </c>
      <c r="M312" s="8">
        <f t="shared" si="99"/>
        <v>3</v>
      </c>
      <c r="N312" s="8">
        <f t="shared" si="100"/>
        <v>1</v>
      </c>
      <c r="O312" s="8">
        <f t="shared" si="101"/>
        <v>0</v>
      </c>
      <c r="P312" s="8">
        <f t="shared" si="102"/>
        <v>1</v>
      </c>
      <c r="Q312" s="8">
        <f t="shared" si="103"/>
        <v>0</v>
      </c>
      <c r="R312" s="8">
        <f t="shared" si="104"/>
        <v>0</v>
      </c>
      <c r="S312" s="8">
        <f t="shared" si="105"/>
        <v>0</v>
      </c>
      <c r="T312" s="8">
        <f t="shared" si="106"/>
        <v>0</v>
      </c>
      <c r="V312" s="8">
        <f t="shared" si="110"/>
        <v>3</v>
      </c>
      <c r="W312">
        <f t="shared" si="111"/>
        <v>1</v>
      </c>
      <c r="Y312" t="str">
        <f t="shared" si="112"/>
        <v>trust</v>
      </c>
    </row>
    <row r="313" spans="2:25" x14ac:dyDescent="0.25">
      <c r="B313" s="5">
        <v>311</v>
      </c>
      <c r="C313" t="s">
        <v>6</v>
      </c>
      <c r="D313" t="s">
        <v>5</v>
      </c>
      <c r="E313" t="s">
        <v>5</v>
      </c>
      <c r="F313" t="s">
        <v>5</v>
      </c>
      <c r="G313" t="s">
        <v>7</v>
      </c>
      <c r="H313">
        <f>SUM(J3:J310)</f>
        <v>159</v>
      </c>
      <c r="J313" s="15">
        <v>1</v>
      </c>
      <c r="K313" s="5">
        <v>311</v>
      </c>
      <c r="L313" s="8">
        <f t="shared" ref="L313:L376" si="113">COUNTIFS(C313:G313, "joy")</f>
        <v>0</v>
      </c>
      <c r="M313" s="8">
        <f t="shared" ref="M313:M376" si="114">COUNTIFS(C313:G313, "trust")</f>
        <v>0</v>
      </c>
      <c r="N313" s="8">
        <f t="shared" ref="N313:N376" si="115">COUNTIFS(C313:G313, "fear")</f>
        <v>1</v>
      </c>
      <c r="O313" s="8">
        <f t="shared" ref="O313:O376" si="116">COUNTIFS(C313:G313, "surprise")</f>
        <v>1</v>
      </c>
      <c r="P313" s="8">
        <f t="shared" ref="P313:P376" si="117">COUNTIFS(C313:G313, "sadness")</f>
        <v>3</v>
      </c>
      <c r="Q313" s="8">
        <f t="shared" ref="Q313:Q376" si="118">COUNTIFS(C313:G313, "disgust")</f>
        <v>0</v>
      </c>
      <c r="R313" s="8">
        <f t="shared" ref="R313:R376" si="119">COUNTIFS(C313:G313, "anger")</f>
        <v>0</v>
      </c>
      <c r="S313" s="8">
        <f t="shared" ref="S313:S376" si="120">COUNTIFS(C313:G313, "anticipation")</f>
        <v>0</v>
      </c>
      <c r="T313" s="8">
        <f t="shared" ref="T313:T376" si="121">COUNTIFS(C313:G313, "AMBIGUOUS")</f>
        <v>0</v>
      </c>
      <c r="V313" s="8">
        <f t="shared" si="110"/>
        <v>3</v>
      </c>
      <c r="W313">
        <f t="shared" si="111"/>
        <v>1</v>
      </c>
      <c r="Y313" t="str">
        <f t="shared" si="112"/>
        <v>sadness</v>
      </c>
    </row>
    <row r="314" spans="2:25" x14ac:dyDescent="0.25">
      <c r="B314" s="5">
        <v>312</v>
      </c>
      <c r="C314" t="s">
        <v>3</v>
      </c>
      <c r="D314" t="s">
        <v>7</v>
      </c>
      <c r="E314" t="s">
        <v>5</v>
      </c>
      <c r="F314" t="s">
        <v>7</v>
      </c>
      <c r="G314" t="s">
        <v>7</v>
      </c>
      <c r="J314" s="15">
        <v>1</v>
      </c>
      <c r="K314" s="5">
        <v>312</v>
      </c>
      <c r="L314" s="8">
        <f t="shared" si="113"/>
        <v>1</v>
      </c>
      <c r="M314" s="8">
        <f t="shared" si="114"/>
        <v>0</v>
      </c>
      <c r="N314" s="8">
        <f t="shared" si="115"/>
        <v>0</v>
      </c>
      <c r="O314" s="8">
        <f t="shared" si="116"/>
        <v>3</v>
      </c>
      <c r="P314" s="8">
        <f t="shared" si="117"/>
        <v>1</v>
      </c>
      <c r="Q314" s="8">
        <f t="shared" si="118"/>
        <v>0</v>
      </c>
      <c r="R314" s="8">
        <f t="shared" si="119"/>
        <v>0</v>
      </c>
      <c r="S314" s="8">
        <f t="shared" si="120"/>
        <v>0</v>
      </c>
      <c r="T314" s="8">
        <f t="shared" si="121"/>
        <v>0</v>
      </c>
      <c r="V314" s="8">
        <f t="shared" si="110"/>
        <v>3</v>
      </c>
      <c r="W314">
        <f t="shared" si="111"/>
        <v>1</v>
      </c>
      <c r="Y314" t="str">
        <f t="shared" si="112"/>
        <v>surprise</v>
      </c>
    </row>
    <row r="315" spans="2:25" x14ac:dyDescent="0.25">
      <c r="B315" s="5">
        <v>313</v>
      </c>
      <c r="C315" t="s">
        <v>6</v>
      </c>
      <c r="D315" t="s">
        <v>5</v>
      </c>
      <c r="E315" t="s">
        <v>5</v>
      </c>
      <c r="F315" t="s">
        <v>5</v>
      </c>
      <c r="G315" t="s">
        <v>5</v>
      </c>
      <c r="J315" s="19"/>
      <c r="K315" s="5">
        <v>313</v>
      </c>
      <c r="L315" s="8">
        <f t="shared" si="113"/>
        <v>0</v>
      </c>
      <c r="M315" s="8">
        <f t="shared" si="114"/>
        <v>0</v>
      </c>
      <c r="N315" s="8">
        <f t="shared" si="115"/>
        <v>1</v>
      </c>
      <c r="O315" s="8">
        <f t="shared" si="116"/>
        <v>0</v>
      </c>
      <c r="P315" s="8">
        <f t="shared" si="117"/>
        <v>4</v>
      </c>
      <c r="Q315" s="8">
        <f t="shared" si="118"/>
        <v>0</v>
      </c>
      <c r="R315" s="8">
        <f t="shared" si="119"/>
        <v>0</v>
      </c>
      <c r="S315" s="8">
        <f t="shared" si="120"/>
        <v>0</v>
      </c>
      <c r="T315" s="8">
        <f t="shared" si="121"/>
        <v>0</v>
      </c>
      <c r="V315" s="8">
        <f t="shared" si="110"/>
        <v>4</v>
      </c>
      <c r="W315">
        <f t="shared" si="111"/>
        <v>1</v>
      </c>
      <c r="Y315" t="str">
        <f t="shared" si="112"/>
        <v>sadness</v>
      </c>
    </row>
    <row r="316" spans="2:25" x14ac:dyDescent="0.25">
      <c r="B316" s="5">
        <v>314</v>
      </c>
      <c r="C316" t="s">
        <v>0</v>
      </c>
      <c r="D316" t="s">
        <v>5</v>
      </c>
      <c r="E316" t="s">
        <v>5</v>
      </c>
      <c r="F316" t="s">
        <v>5</v>
      </c>
      <c r="G316" t="s">
        <v>5</v>
      </c>
      <c r="J316" s="19"/>
      <c r="K316" s="5">
        <v>314</v>
      </c>
      <c r="L316" s="8">
        <f t="shared" si="113"/>
        <v>0</v>
      </c>
      <c r="M316" s="8">
        <f t="shared" si="114"/>
        <v>0</v>
      </c>
      <c r="N316" s="8">
        <f t="shared" si="115"/>
        <v>0</v>
      </c>
      <c r="O316" s="8">
        <f t="shared" si="116"/>
        <v>0</v>
      </c>
      <c r="P316" s="8">
        <f t="shared" si="117"/>
        <v>4</v>
      </c>
      <c r="Q316" s="8">
        <f t="shared" si="118"/>
        <v>1</v>
      </c>
      <c r="R316" s="8">
        <f t="shared" si="119"/>
        <v>0</v>
      </c>
      <c r="S316" s="8">
        <f t="shared" si="120"/>
        <v>0</v>
      </c>
      <c r="T316" s="8">
        <f t="shared" si="121"/>
        <v>0</v>
      </c>
      <c r="V316" s="8">
        <f t="shared" si="110"/>
        <v>4</v>
      </c>
      <c r="W316">
        <f t="shared" si="111"/>
        <v>1</v>
      </c>
      <c r="Y316" t="str">
        <f t="shared" si="112"/>
        <v>sadness</v>
      </c>
    </row>
    <row r="317" spans="2:25" x14ac:dyDescent="0.25">
      <c r="B317" s="5">
        <v>315</v>
      </c>
      <c r="C317" t="s">
        <v>6</v>
      </c>
      <c r="D317" t="s">
        <v>6</v>
      </c>
      <c r="E317" t="s">
        <v>5</v>
      </c>
      <c r="F317" t="s">
        <v>6</v>
      </c>
      <c r="G317" t="s">
        <v>6</v>
      </c>
      <c r="J317" s="19"/>
      <c r="K317" s="5">
        <v>315</v>
      </c>
      <c r="L317" s="8">
        <f t="shared" si="113"/>
        <v>0</v>
      </c>
      <c r="M317" s="8">
        <f t="shared" si="114"/>
        <v>0</v>
      </c>
      <c r="N317" s="8">
        <f t="shared" si="115"/>
        <v>4</v>
      </c>
      <c r="O317" s="8">
        <f t="shared" si="116"/>
        <v>0</v>
      </c>
      <c r="P317" s="8">
        <f t="shared" si="117"/>
        <v>1</v>
      </c>
      <c r="Q317" s="8">
        <f t="shared" si="118"/>
        <v>0</v>
      </c>
      <c r="R317" s="8">
        <f t="shared" si="119"/>
        <v>0</v>
      </c>
      <c r="S317" s="8">
        <f t="shared" si="120"/>
        <v>0</v>
      </c>
      <c r="T317" s="8">
        <f t="shared" si="121"/>
        <v>0</v>
      </c>
      <c r="V317" s="8">
        <f t="shared" si="110"/>
        <v>4</v>
      </c>
      <c r="W317">
        <f t="shared" si="111"/>
        <v>1</v>
      </c>
      <c r="Y317" t="str">
        <f t="shared" si="112"/>
        <v>fear</v>
      </c>
    </row>
    <row r="318" spans="2:25" x14ac:dyDescent="0.25">
      <c r="B318" s="5">
        <v>316</v>
      </c>
      <c r="C318" t="s">
        <v>1</v>
      </c>
      <c r="D318" t="s">
        <v>1</v>
      </c>
      <c r="E318" t="s">
        <v>5</v>
      </c>
      <c r="F318" t="s">
        <v>1</v>
      </c>
      <c r="G318" t="s">
        <v>6</v>
      </c>
      <c r="J318" s="19">
        <v>1</v>
      </c>
      <c r="K318" s="5">
        <v>316</v>
      </c>
      <c r="L318" s="8">
        <f t="shared" si="113"/>
        <v>0</v>
      </c>
      <c r="M318" s="8">
        <f t="shared" si="114"/>
        <v>3</v>
      </c>
      <c r="N318" s="8">
        <f t="shared" si="115"/>
        <v>1</v>
      </c>
      <c r="O318" s="8">
        <f t="shared" si="116"/>
        <v>0</v>
      </c>
      <c r="P318" s="8">
        <f t="shared" si="117"/>
        <v>1</v>
      </c>
      <c r="Q318" s="8">
        <f t="shared" si="118"/>
        <v>0</v>
      </c>
      <c r="R318" s="8">
        <f t="shared" si="119"/>
        <v>0</v>
      </c>
      <c r="S318" s="8">
        <f t="shared" si="120"/>
        <v>0</v>
      </c>
      <c r="T318" s="8">
        <f t="shared" si="121"/>
        <v>0</v>
      </c>
      <c r="V318" s="8">
        <f t="shared" si="110"/>
        <v>3</v>
      </c>
      <c r="W318">
        <f t="shared" si="111"/>
        <v>1</v>
      </c>
      <c r="Y318" t="str">
        <f t="shared" si="112"/>
        <v>trust</v>
      </c>
    </row>
    <row r="319" spans="2:25" x14ac:dyDescent="0.25">
      <c r="B319" s="5">
        <v>317</v>
      </c>
      <c r="C319" t="s">
        <v>1</v>
      </c>
      <c r="D319" t="s">
        <v>8</v>
      </c>
      <c r="E319" t="s">
        <v>5</v>
      </c>
      <c r="F319" t="s">
        <v>8</v>
      </c>
      <c r="G319" t="s">
        <v>8</v>
      </c>
      <c r="J319" s="19">
        <v>1</v>
      </c>
      <c r="K319" s="5">
        <v>317</v>
      </c>
      <c r="L319" s="8">
        <f t="shared" si="113"/>
        <v>0</v>
      </c>
      <c r="M319" s="8">
        <f t="shared" si="114"/>
        <v>1</v>
      </c>
      <c r="N319" s="8">
        <f t="shared" si="115"/>
        <v>0</v>
      </c>
      <c r="O319" s="8">
        <f t="shared" si="116"/>
        <v>0</v>
      </c>
      <c r="P319" s="8">
        <f t="shared" si="117"/>
        <v>1</v>
      </c>
      <c r="Q319" s="8">
        <f t="shared" si="118"/>
        <v>0</v>
      </c>
      <c r="R319" s="8">
        <f t="shared" si="119"/>
        <v>0</v>
      </c>
      <c r="S319" s="8">
        <f t="shared" si="120"/>
        <v>3</v>
      </c>
      <c r="T319" s="8">
        <f t="shared" si="121"/>
        <v>0</v>
      </c>
      <c r="V319" s="8">
        <f t="shared" si="110"/>
        <v>3</v>
      </c>
      <c r="W319">
        <f t="shared" si="111"/>
        <v>1</v>
      </c>
      <c r="Y319" t="str">
        <f t="shared" si="112"/>
        <v>anticipation</v>
      </c>
    </row>
    <row r="320" spans="2:25" x14ac:dyDescent="0.25">
      <c r="B320" s="5">
        <v>318</v>
      </c>
      <c r="C320" t="s">
        <v>1</v>
      </c>
      <c r="D320" t="s">
        <v>5</v>
      </c>
      <c r="E320" t="s">
        <v>5</v>
      </c>
      <c r="F320" t="s">
        <v>5</v>
      </c>
      <c r="G320" t="s">
        <v>7</v>
      </c>
      <c r="J320" s="19">
        <v>1</v>
      </c>
      <c r="K320" s="5">
        <v>318</v>
      </c>
      <c r="L320" s="8">
        <f t="shared" si="113"/>
        <v>0</v>
      </c>
      <c r="M320" s="8">
        <f t="shared" si="114"/>
        <v>1</v>
      </c>
      <c r="N320" s="8">
        <f t="shared" si="115"/>
        <v>0</v>
      </c>
      <c r="O320" s="8">
        <f t="shared" si="116"/>
        <v>1</v>
      </c>
      <c r="P320" s="8">
        <f t="shared" si="117"/>
        <v>3</v>
      </c>
      <c r="Q320" s="8">
        <f t="shared" si="118"/>
        <v>0</v>
      </c>
      <c r="R320" s="8">
        <f t="shared" si="119"/>
        <v>0</v>
      </c>
      <c r="S320" s="8">
        <f t="shared" si="120"/>
        <v>0</v>
      </c>
      <c r="T320" s="8">
        <f t="shared" si="121"/>
        <v>0</v>
      </c>
      <c r="V320" s="8">
        <f t="shared" si="110"/>
        <v>3</v>
      </c>
      <c r="W320">
        <f t="shared" si="111"/>
        <v>1</v>
      </c>
      <c r="Y320" t="str">
        <f t="shared" si="112"/>
        <v>sadness</v>
      </c>
    </row>
    <row r="321" spans="2:25" x14ac:dyDescent="0.25">
      <c r="B321" s="5">
        <v>319</v>
      </c>
      <c r="C321" t="s">
        <v>6</v>
      </c>
      <c r="D321" t="s">
        <v>6</v>
      </c>
      <c r="E321" t="s">
        <v>5</v>
      </c>
      <c r="F321" t="s">
        <v>6</v>
      </c>
      <c r="G321" t="s">
        <v>7</v>
      </c>
      <c r="J321" s="19">
        <v>1</v>
      </c>
      <c r="K321" s="5">
        <v>319</v>
      </c>
      <c r="L321" s="8">
        <f t="shared" si="113"/>
        <v>0</v>
      </c>
      <c r="M321" s="8">
        <f t="shared" si="114"/>
        <v>0</v>
      </c>
      <c r="N321" s="8">
        <f t="shared" si="115"/>
        <v>3</v>
      </c>
      <c r="O321" s="8">
        <f t="shared" si="116"/>
        <v>1</v>
      </c>
      <c r="P321" s="8">
        <f t="shared" si="117"/>
        <v>1</v>
      </c>
      <c r="Q321" s="8">
        <f t="shared" si="118"/>
        <v>0</v>
      </c>
      <c r="R321" s="8">
        <f t="shared" si="119"/>
        <v>0</v>
      </c>
      <c r="S321" s="8">
        <f t="shared" si="120"/>
        <v>0</v>
      </c>
      <c r="T321" s="8">
        <f t="shared" si="121"/>
        <v>0</v>
      </c>
      <c r="V321" s="8">
        <f t="shared" si="110"/>
        <v>3</v>
      </c>
      <c r="W321">
        <f t="shared" si="111"/>
        <v>1</v>
      </c>
      <c r="Y321" t="str">
        <f t="shared" si="112"/>
        <v>fear</v>
      </c>
    </row>
    <row r="322" spans="2:25" x14ac:dyDescent="0.25">
      <c r="B322" s="5">
        <v>320</v>
      </c>
      <c r="C322" t="s">
        <v>3</v>
      </c>
      <c r="D322" t="s">
        <v>5</v>
      </c>
      <c r="E322" t="s">
        <v>5</v>
      </c>
      <c r="F322" t="s">
        <v>5</v>
      </c>
      <c r="G322" t="s">
        <v>7</v>
      </c>
      <c r="J322" s="19">
        <v>1</v>
      </c>
      <c r="K322" s="5">
        <v>320</v>
      </c>
      <c r="L322" s="8">
        <f t="shared" si="113"/>
        <v>1</v>
      </c>
      <c r="M322" s="8">
        <f t="shared" si="114"/>
        <v>0</v>
      </c>
      <c r="N322" s="8">
        <f t="shared" si="115"/>
        <v>0</v>
      </c>
      <c r="O322" s="8">
        <f t="shared" si="116"/>
        <v>1</v>
      </c>
      <c r="P322" s="8">
        <f t="shared" si="117"/>
        <v>3</v>
      </c>
      <c r="Q322" s="8">
        <f t="shared" si="118"/>
        <v>0</v>
      </c>
      <c r="R322" s="8">
        <f t="shared" si="119"/>
        <v>0</v>
      </c>
      <c r="S322" s="8">
        <f t="shared" si="120"/>
        <v>0</v>
      </c>
      <c r="T322" s="8">
        <f t="shared" si="121"/>
        <v>0</v>
      </c>
      <c r="V322" s="8">
        <f t="shared" si="110"/>
        <v>3</v>
      </c>
      <c r="W322">
        <f t="shared" si="111"/>
        <v>1</v>
      </c>
      <c r="Y322" t="str">
        <f t="shared" si="112"/>
        <v>sadness</v>
      </c>
    </row>
    <row r="323" spans="2:25" x14ac:dyDescent="0.25">
      <c r="B323" s="5">
        <v>321</v>
      </c>
      <c r="C323" t="s">
        <v>3</v>
      </c>
      <c r="D323" t="s">
        <v>3</v>
      </c>
      <c r="E323" t="s">
        <v>5</v>
      </c>
      <c r="F323" t="s">
        <v>3</v>
      </c>
      <c r="G323" t="s">
        <v>1</v>
      </c>
      <c r="J323" s="19">
        <v>1</v>
      </c>
      <c r="K323" s="5">
        <v>321</v>
      </c>
      <c r="L323" s="8">
        <f t="shared" si="113"/>
        <v>3</v>
      </c>
      <c r="M323" s="8">
        <f t="shared" si="114"/>
        <v>1</v>
      </c>
      <c r="N323" s="8">
        <f t="shared" si="115"/>
        <v>0</v>
      </c>
      <c r="O323" s="8">
        <f t="shared" si="116"/>
        <v>0</v>
      </c>
      <c r="P323" s="8">
        <f t="shared" si="117"/>
        <v>1</v>
      </c>
      <c r="Q323" s="8">
        <f t="shared" si="118"/>
        <v>0</v>
      </c>
      <c r="R323" s="8">
        <f t="shared" si="119"/>
        <v>0</v>
      </c>
      <c r="S323" s="8">
        <f t="shared" si="120"/>
        <v>0</v>
      </c>
      <c r="T323" s="8">
        <f t="shared" si="121"/>
        <v>0</v>
      </c>
      <c r="V323" s="8">
        <f t="shared" si="110"/>
        <v>3</v>
      </c>
      <c r="W323">
        <f t="shared" si="111"/>
        <v>1</v>
      </c>
      <c r="Y323" t="str">
        <f t="shared" si="112"/>
        <v>joy</v>
      </c>
    </row>
    <row r="324" spans="2:25" x14ac:dyDescent="0.25">
      <c r="B324" s="5">
        <v>322</v>
      </c>
      <c r="C324" t="s">
        <v>3</v>
      </c>
      <c r="D324" t="s">
        <v>5</v>
      </c>
      <c r="E324" t="s">
        <v>5</v>
      </c>
      <c r="F324" t="s">
        <v>5</v>
      </c>
      <c r="G324" t="s">
        <v>1</v>
      </c>
      <c r="J324" s="19">
        <v>1</v>
      </c>
      <c r="K324" s="5">
        <v>322</v>
      </c>
      <c r="L324" s="8">
        <f t="shared" si="113"/>
        <v>1</v>
      </c>
      <c r="M324" s="8">
        <f t="shared" si="114"/>
        <v>1</v>
      </c>
      <c r="N324" s="8">
        <f t="shared" si="115"/>
        <v>0</v>
      </c>
      <c r="O324" s="8">
        <f t="shared" si="116"/>
        <v>0</v>
      </c>
      <c r="P324" s="8">
        <f t="shared" si="117"/>
        <v>3</v>
      </c>
      <c r="Q324" s="8">
        <f t="shared" si="118"/>
        <v>0</v>
      </c>
      <c r="R324" s="8">
        <f t="shared" si="119"/>
        <v>0</v>
      </c>
      <c r="S324" s="8">
        <f t="shared" si="120"/>
        <v>0</v>
      </c>
      <c r="T324" s="8">
        <f t="shared" si="121"/>
        <v>0</v>
      </c>
      <c r="V324" s="8">
        <f t="shared" si="110"/>
        <v>3</v>
      </c>
      <c r="W324">
        <f t="shared" si="111"/>
        <v>1</v>
      </c>
      <c r="Y324" t="str">
        <f t="shared" si="112"/>
        <v>sadness</v>
      </c>
    </row>
    <row r="325" spans="2:25" x14ac:dyDescent="0.25">
      <c r="B325" s="5">
        <v>323</v>
      </c>
      <c r="C325" t="s">
        <v>0</v>
      </c>
      <c r="D325" t="s">
        <v>4</v>
      </c>
      <c r="E325" t="s">
        <v>4</v>
      </c>
      <c r="F325" t="s">
        <v>4</v>
      </c>
      <c r="G325" t="s">
        <v>1</v>
      </c>
      <c r="J325" s="19">
        <v>1</v>
      </c>
      <c r="K325" s="5">
        <v>323</v>
      </c>
      <c r="L325" s="8">
        <f t="shared" si="113"/>
        <v>0</v>
      </c>
      <c r="M325" s="8">
        <f t="shared" si="114"/>
        <v>1</v>
      </c>
      <c r="N325" s="8">
        <f t="shared" si="115"/>
        <v>0</v>
      </c>
      <c r="O325" s="8">
        <f t="shared" si="116"/>
        <v>0</v>
      </c>
      <c r="P325" s="8">
        <f t="shared" si="117"/>
        <v>0</v>
      </c>
      <c r="Q325" s="8">
        <f t="shared" si="118"/>
        <v>1</v>
      </c>
      <c r="R325" s="8">
        <f t="shared" si="119"/>
        <v>3</v>
      </c>
      <c r="S325" s="8">
        <f t="shared" si="120"/>
        <v>0</v>
      </c>
      <c r="T325" s="8">
        <f t="shared" si="121"/>
        <v>0</v>
      </c>
      <c r="V325" s="8">
        <f t="shared" si="110"/>
        <v>3</v>
      </c>
      <c r="W325">
        <f t="shared" si="111"/>
        <v>1</v>
      </c>
      <c r="Y325" t="str">
        <f t="shared" si="112"/>
        <v>anger</v>
      </c>
    </row>
    <row r="326" spans="2:25" x14ac:dyDescent="0.25">
      <c r="B326" s="5">
        <v>324</v>
      </c>
      <c r="C326" t="s">
        <v>3</v>
      </c>
      <c r="D326" t="s">
        <v>3</v>
      </c>
      <c r="E326" t="s">
        <v>3</v>
      </c>
      <c r="F326" t="s">
        <v>3</v>
      </c>
      <c r="G326" t="s">
        <v>7</v>
      </c>
      <c r="J326" s="19"/>
      <c r="K326" s="5">
        <v>324</v>
      </c>
      <c r="L326" s="8">
        <f t="shared" si="113"/>
        <v>4</v>
      </c>
      <c r="M326" s="8">
        <f t="shared" si="114"/>
        <v>0</v>
      </c>
      <c r="N326" s="8">
        <f t="shared" si="115"/>
        <v>0</v>
      </c>
      <c r="O326" s="8">
        <f t="shared" si="116"/>
        <v>1</v>
      </c>
      <c r="P326" s="8">
        <f t="shared" si="117"/>
        <v>0</v>
      </c>
      <c r="Q326" s="8">
        <f t="shared" si="118"/>
        <v>0</v>
      </c>
      <c r="R326" s="8">
        <f t="shared" si="119"/>
        <v>0</v>
      </c>
      <c r="S326" s="8">
        <f t="shared" si="120"/>
        <v>0</v>
      </c>
      <c r="T326" s="8">
        <f t="shared" si="121"/>
        <v>0</v>
      </c>
      <c r="V326" s="8">
        <f t="shared" si="110"/>
        <v>4</v>
      </c>
      <c r="W326">
        <f t="shared" si="111"/>
        <v>1</v>
      </c>
      <c r="Y326" t="str">
        <f t="shared" si="112"/>
        <v>joy</v>
      </c>
    </row>
    <row r="327" spans="2:25" x14ac:dyDescent="0.25">
      <c r="B327" s="5">
        <v>325</v>
      </c>
      <c r="C327" t="s">
        <v>1</v>
      </c>
      <c r="D327" t="s">
        <v>3</v>
      </c>
      <c r="E327" t="s">
        <v>3</v>
      </c>
      <c r="F327" t="s">
        <v>3</v>
      </c>
      <c r="G327" t="s">
        <v>7</v>
      </c>
      <c r="J327" s="19">
        <v>1</v>
      </c>
      <c r="K327" s="5">
        <v>325</v>
      </c>
      <c r="L327" s="8">
        <f t="shared" si="113"/>
        <v>3</v>
      </c>
      <c r="M327" s="8">
        <f t="shared" si="114"/>
        <v>1</v>
      </c>
      <c r="N327" s="8">
        <f t="shared" si="115"/>
        <v>0</v>
      </c>
      <c r="O327" s="8">
        <f t="shared" si="116"/>
        <v>1</v>
      </c>
      <c r="P327" s="8">
        <f t="shared" si="117"/>
        <v>0</v>
      </c>
      <c r="Q327" s="8">
        <f t="shared" si="118"/>
        <v>0</v>
      </c>
      <c r="R327" s="8">
        <f t="shared" si="119"/>
        <v>0</v>
      </c>
      <c r="S327" s="8">
        <f t="shared" si="120"/>
        <v>0</v>
      </c>
      <c r="T327" s="8">
        <f t="shared" si="121"/>
        <v>0</v>
      </c>
      <c r="V327" s="8">
        <f t="shared" si="110"/>
        <v>3</v>
      </c>
      <c r="W327">
        <f t="shared" si="111"/>
        <v>1</v>
      </c>
      <c r="Y327" t="str">
        <f t="shared" si="112"/>
        <v>joy</v>
      </c>
    </row>
    <row r="328" spans="2:25" x14ac:dyDescent="0.25">
      <c r="B328" s="5">
        <v>326</v>
      </c>
      <c r="C328" t="s">
        <v>3</v>
      </c>
      <c r="D328" t="s">
        <v>3</v>
      </c>
      <c r="E328" t="s">
        <v>3</v>
      </c>
      <c r="F328" t="s">
        <v>3</v>
      </c>
      <c r="G328" t="s">
        <v>7</v>
      </c>
      <c r="J328" s="19"/>
      <c r="K328" s="5">
        <v>326</v>
      </c>
      <c r="L328" s="8">
        <f t="shared" si="113"/>
        <v>4</v>
      </c>
      <c r="M328" s="8">
        <f t="shared" si="114"/>
        <v>0</v>
      </c>
      <c r="N328" s="8">
        <f t="shared" si="115"/>
        <v>0</v>
      </c>
      <c r="O328" s="8">
        <f t="shared" si="116"/>
        <v>1</v>
      </c>
      <c r="P328" s="8">
        <f t="shared" si="117"/>
        <v>0</v>
      </c>
      <c r="Q328" s="8">
        <f t="shared" si="118"/>
        <v>0</v>
      </c>
      <c r="R328" s="8">
        <f t="shared" si="119"/>
        <v>0</v>
      </c>
      <c r="S328" s="8">
        <f t="shared" si="120"/>
        <v>0</v>
      </c>
      <c r="T328" s="8">
        <f t="shared" si="121"/>
        <v>0</v>
      </c>
      <c r="V328" s="8">
        <f t="shared" si="110"/>
        <v>4</v>
      </c>
      <c r="W328">
        <f t="shared" si="111"/>
        <v>1</v>
      </c>
      <c r="Y328" t="str">
        <f t="shared" si="112"/>
        <v>joy</v>
      </c>
    </row>
    <row r="329" spans="2:25" x14ac:dyDescent="0.25">
      <c r="B329" s="5">
        <v>327</v>
      </c>
      <c r="C329" t="s">
        <v>3</v>
      </c>
      <c r="D329" t="s">
        <v>3</v>
      </c>
      <c r="E329" t="s">
        <v>5</v>
      </c>
      <c r="F329" t="s">
        <v>3</v>
      </c>
      <c r="G329" t="s">
        <v>1</v>
      </c>
      <c r="J329" s="19">
        <v>1</v>
      </c>
      <c r="K329" s="5">
        <v>327</v>
      </c>
      <c r="L329" s="8">
        <f t="shared" si="113"/>
        <v>3</v>
      </c>
      <c r="M329" s="8">
        <f t="shared" si="114"/>
        <v>1</v>
      </c>
      <c r="N329" s="8">
        <f t="shared" si="115"/>
        <v>0</v>
      </c>
      <c r="O329" s="8">
        <f t="shared" si="116"/>
        <v>0</v>
      </c>
      <c r="P329" s="8">
        <f t="shared" si="117"/>
        <v>1</v>
      </c>
      <c r="Q329" s="8">
        <f t="shared" si="118"/>
        <v>0</v>
      </c>
      <c r="R329" s="8">
        <f t="shared" si="119"/>
        <v>0</v>
      </c>
      <c r="S329" s="8">
        <f t="shared" si="120"/>
        <v>0</v>
      </c>
      <c r="T329" s="8">
        <f t="shared" si="121"/>
        <v>0</v>
      </c>
      <c r="V329" s="8">
        <f t="shared" si="110"/>
        <v>3</v>
      </c>
      <c r="W329">
        <f t="shared" si="111"/>
        <v>1</v>
      </c>
      <c r="Y329" t="str">
        <f t="shared" si="112"/>
        <v>joy</v>
      </c>
    </row>
    <row r="330" spans="2:25" x14ac:dyDescent="0.25">
      <c r="B330" s="5">
        <v>328</v>
      </c>
      <c r="C330" t="s">
        <v>3</v>
      </c>
      <c r="D330" t="s">
        <v>5</v>
      </c>
      <c r="E330" t="s">
        <v>5</v>
      </c>
      <c r="F330" t="s">
        <v>5</v>
      </c>
      <c r="G330" t="s">
        <v>1</v>
      </c>
      <c r="J330" s="19">
        <v>1</v>
      </c>
      <c r="K330" s="5">
        <v>328</v>
      </c>
      <c r="L330" s="8">
        <f t="shared" si="113"/>
        <v>1</v>
      </c>
      <c r="M330" s="8">
        <f t="shared" si="114"/>
        <v>1</v>
      </c>
      <c r="N330" s="8">
        <f t="shared" si="115"/>
        <v>0</v>
      </c>
      <c r="O330" s="8">
        <f t="shared" si="116"/>
        <v>0</v>
      </c>
      <c r="P330" s="8">
        <f t="shared" si="117"/>
        <v>3</v>
      </c>
      <c r="Q330" s="8">
        <f t="shared" si="118"/>
        <v>0</v>
      </c>
      <c r="R330" s="8">
        <f t="shared" si="119"/>
        <v>0</v>
      </c>
      <c r="S330" s="8">
        <f t="shared" si="120"/>
        <v>0</v>
      </c>
      <c r="T330" s="8">
        <f t="shared" si="121"/>
        <v>0</v>
      </c>
      <c r="V330" s="8">
        <f t="shared" si="110"/>
        <v>3</v>
      </c>
      <c r="W330">
        <f t="shared" si="111"/>
        <v>1</v>
      </c>
      <c r="Y330" t="str">
        <f t="shared" si="112"/>
        <v>sadness</v>
      </c>
    </row>
    <row r="331" spans="2:25" x14ac:dyDescent="0.25">
      <c r="B331" s="5">
        <v>329</v>
      </c>
      <c r="C331" t="s">
        <v>3</v>
      </c>
      <c r="D331" t="s">
        <v>3</v>
      </c>
      <c r="E331" t="s">
        <v>3</v>
      </c>
      <c r="F331" t="s">
        <v>3</v>
      </c>
      <c r="G331" t="s">
        <v>1</v>
      </c>
      <c r="J331" s="19"/>
      <c r="K331" s="5">
        <v>329</v>
      </c>
      <c r="L331" s="8">
        <f t="shared" si="113"/>
        <v>4</v>
      </c>
      <c r="M331" s="8">
        <f t="shared" si="114"/>
        <v>1</v>
      </c>
      <c r="N331" s="8">
        <f t="shared" si="115"/>
        <v>0</v>
      </c>
      <c r="O331" s="8">
        <f t="shared" si="116"/>
        <v>0</v>
      </c>
      <c r="P331" s="8">
        <f t="shared" si="117"/>
        <v>0</v>
      </c>
      <c r="Q331" s="8">
        <f t="shared" si="118"/>
        <v>0</v>
      </c>
      <c r="R331" s="8">
        <f t="shared" si="119"/>
        <v>0</v>
      </c>
      <c r="S331" s="8">
        <f t="shared" si="120"/>
        <v>0</v>
      </c>
      <c r="T331" s="8">
        <f t="shared" si="121"/>
        <v>0</v>
      </c>
      <c r="V331" s="8">
        <f t="shared" si="110"/>
        <v>4</v>
      </c>
      <c r="W331">
        <f t="shared" si="111"/>
        <v>1</v>
      </c>
      <c r="Y331" t="str">
        <f t="shared" si="112"/>
        <v>joy</v>
      </c>
    </row>
    <row r="332" spans="2:25" x14ac:dyDescent="0.25">
      <c r="B332" s="5">
        <v>330</v>
      </c>
      <c r="C332" t="s">
        <v>3</v>
      </c>
      <c r="D332" t="s">
        <v>3</v>
      </c>
      <c r="E332" t="s">
        <v>3</v>
      </c>
      <c r="F332" t="s">
        <v>3</v>
      </c>
      <c r="G332" t="s">
        <v>1</v>
      </c>
      <c r="J332" s="19"/>
      <c r="K332" s="5">
        <v>330</v>
      </c>
      <c r="L332" s="8">
        <f t="shared" si="113"/>
        <v>4</v>
      </c>
      <c r="M332" s="8">
        <f t="shared" si="114"/>
        <v>1</v>
      </c>
      <c r="N332" s="8">
        <f t="shared" si="115"/>
        <v>0</v>
      </c>
      <c r="O332" s="8">
        <f t="shared" si="116"/>
        <v>0</v>
      </c>
      <c r="P332" s="8">
        <f t="shared" si="117"/>
        <v>0</v>
      </c>
      <c r="Q332" s="8">
        <f t="shared" si="118"/>
        <v>0</v>
      </c>
      <c r="R332" s="8">
        <f t="shared" si="119"/>
        <v>0</v>
      </c>
      <c r="S332" s="8">
        <f t="shared" si="120"/>
        <v>0</v>
      </c>
      <c r="T332" s="8">
        <f t="shared" si="121"/>
        <v>0</v>
      </c>
      <c r="V332" s="8">
        <f t="shared" si="110"/>
        <v>4</v>
      </c>
      <c r="W332">
        <f t="shared" si="111"/>
        <v>1</v>
      </c>
      <c r="Y332" t="str">
        <f t="shared" si="112"/>
        <v>joy</v>
      </c>
    </row>
    <row r="333" spans="2:25" x14ac:dyDescent="0.25">
      <c r="B333" s="5">
        <v>331</v>
      </c>
      <c r="C333" t="s">
        <v>3</v>
      </c>
      <c r="D333" t="s">
        <v>3</v>
      </c>
      <c r="E333" t="s">
        <v>3</v>
      </c>
      <c r="F333" t="s">
        <v>3</v>
      </c>
      <c r="G333" t="s">
        <v>1</v>
      </c>
      <c r="J333" s="19"/>
      <c r="K333" s="5">
        <v>331</v>
      </c>
      <c r="L333" s="8">
        <f t="shared" si="113"/>
        <v>4</v>
      </c>
      <c r="M333" s="8">
        <f t="shared" si="114"/>
        <v>1</v>
      </c>
      <c r="N333" s="8">
        <f t="shared" si="115"/>
        <v>0</v>
      </c>
      <c r="O333" s="8">
        <f t="shared" si="116"/>
        <v>0</v>
      </c>
      <c r="P333" s="8">
        <f t="shared" si="117"/>
        <v>0</v>
      </c>
      <c r="Q333" s="8">
        <f t="shared" si="118"/>
        <v>0</v>
      </c>
      <c r="R333" s="8">
        <f t="shared" si="119"/>
        <v>0</v>
      </c>
      <c r="S333" s="8">
        <f t="shared" si="120"/>
        <v>0</v>
      </c>
      <c r="T333" s="8">
        <f t="shared" si="121"/>
        <v>0</v>
      </c>
      <c r="V333" s="8">
        <f t="shared" si="110"/>
        <v>4</v>
      </c>
      <c r="W333">
        <f t="shared" si="111"/>
        <v>1</v>
      </c>
      <c r="Y333" t="str">
        <f t="shared" si="112"/>
        <v>joy</v>
      </c>
    </row>
    <row r="334" spans="2:25" x14ac:dyDescent="0.25">
      <c r="B334" s="5">
        <v>332</v>
      </c>
      <c r="C334" t="s">
        <v>3</v>
      </c>
      <c r="D334" t="s">
        <v>3</v>
      </c>
      <c r="E334" t="s">
        <v>3</v>
      </c>
      <c r="F334" t="s">
        <v>3</v>
      </c>
      <c r="G334" t="s">
        <v>7</v>
      </c>
      <c r="J334" s="19"/>
      <c r="K334" s="5">
        <v>332</v>
      </c>
      <c r="L334" s="8">
        <f t="shared" si="113"/>
        <v>4</v>
      </c>
      <c r="M334" s="8">
        <f t="shared" si="114"/>
        <v>0</v>
      </c>
      <c r="N334" s="8">
        <f t="shared" si="115"/>
        <v>0</v>
      </c>
      <c r="O334" s="8">
        <f t="shared" si="116"/>
        <v>1</v>
      </c>
      <c r="P334" s="8">
        <f t="shared" si="117"/>
        <v>0</v>
      </c>
      <c r="Q334" s="8">
        <f t="shared" si="118"/>
        <v>0</v>
      </c>
      <c r="R334" s="8">
        <f t="shared" si="119"/>
        <v>0</v>
      </c>
      <c r="S334" s="8">
        <f t="shared" si="120"/>
        <v>0</v>
      </c>
      <c r="T334" s="8">
        <f t="shared" si="121"/>
        <v>0</v>
      </c>
      <c r="V334" s="8">
        <f t="shared" si="110"/>
        <v>4</v>
      </c>
      <c r="W334">
        <f t="shared" si="111"/>
        <v>1</v>
      </c>
      <c r="Y334" t="str">
        <f t="shared" si="112"/>
        <v>joy</v>
      </c>
    </row>
    <row r="335" spans="2:25" x14ac:dyDescent="0.25">
      <c r="B335" s="5">
        <v>333</v>
      </c>
      <c r="C335" t="s">
        <v>1</v>
      </c>
      <c r="D335" t="s">
        <v>3</v>
      </c>
      <c r="E335" t="s">
        <v>3</v>
      </c>
      <c r="F335" t="s">
        <v>3</v>
      </c>
      <c r="G335" t="s">
        <v>7</v>
      </c>
      <c r="J335" s="19">
        <v>1</v>
      </c>
      <c r="K335" s="5">
        <v>333</v>
      </c>
      <c r="L335" s="8">
        <f t="shared" si="113"/>
        <v>3</v>
      </c>
      <c r="M335" s="8">
        <f t="shared" si="114"/>
        <v>1</v>
      </c>
      <c r="N335" s="8">
        <f t="shared" si="115"/>
        <v>0</v>
      </c>
      <c r="O335" s="8">
        <f t="shared" si="116"/>
        <v>1</v>
      </c>
      <c r="P335" s="8">
        <f t="shared" si="117"/>
        <v>0</v>
      </c>
      <c r="Q335" s="8">
        <f t="shared" si="118"/>
        <v>0</v>
      </c>
      <c r="R335" s="8">
        <f t="shared" si="119"/>
        <v>0</v>
      </c>
      <c r="S335" s="8">
        <f t="shared" si="120"/>
        <v>0</v>
      </c>
      <c r="T335" s="8">
        <f t="shared" si="121"/>
        <v>0</v>
      </c>
      <c r="V335" s="8">
        <f t="shared" si="110"/>
        <v>3</v>
      </c>
      <c r="W335">
        <f t="shared" si="111"/>
        <v>1</v>
      </c>
      <c r="Y335" t="str">
        <f t="shared" si="112"/>
        <v>joy</v>
      </c>
    </row>
    <row r="336" spans="2:25" x14ac:dyDescent="0.25">
      <c r="B336" s="5">
        <v>334</v>
      </c>
      <c r="C336" t="s">
        <v>3</v>
      </c>
      <c r="D336" t="s">
        <v>3</v>
      </c>
      <c r="E336" t="s">
        <v>5</v>
      </c>
      <c r="F336" t="s">
        <v>3</v>
      </c>
      <c r="G336" t="s">
        <v>2</v>
      </c>
      <c r="J336" s="19">
        <v>1</v>
      </c>
      <c r="K336" s="5">
        <v>334</v>
      </c>
      <c r="L336" s="8">
        <f t="shared" si="113"/>
        <v>3</v>
      </c>
      <c r="M336" s="8">
        <f t="shared" si="114"/>
        <v>0</v>
      </c>
      <c r="N336" s="8">
        <f t="shared" si="115"/>
        <v>0</v>
      </c>
      <c r="O336" s="8">
        <f t="shared" si="116"/>
        <v>0</v>
      </c>
      <c r="P336" s="8">
        <f t="shared" si="117"/>
        <v>1</v>
      </c>
      <c r="Q336" s="8">
        <f t="shared" si="118"/>
        <v>0</v>
      </c>
      <c r="R336" s="8">
        <f t="shared" si="119"/>
        <v>0</v>
      </c>
      <c r="S336" s="8">
        <f t="shared" si="120"/>
        <v>0</v>
      </c>
      <c r="T336" s="8">
        <f t="shared" si="121"/>
        <v>1</v>
      </c>
      <c r="V336" s="8">
        <f t="shared" si="110"/>
        <v>3</v>
      </c>
      <c r="W336">
        <f t="shared" si="111"/>
        <v>1</v>
      </c>
      <c r="Y336" t="str">
        <f t="shared" si="112"/>
        <v>joy</v>
      </c>
    </row>
    <row r="337" spans="2:25" x14ac:dyDescent="0.25">
      <c r="B337" s="5">
        <v>335</v>
      </c>
      <c r="C337" t="s">
        <v>3</v>
      </c>
      <c r="D337" t="s">
        <v>3</v>
      </c>
      <c r="E337" t="s">
        <v>5</v>
      </c>
      <c r="F337" t="s">
        <v>3</v>
      </c>
      <c r="G337" t="s">
        <v>2</v>
      </c>
      <c r="J337" s="19">
        <v>1</v>
      </c>
      <c r="K337" s="5">
        <v>335</v>
      </c>
      <c r="L337" s="8">
        <f t="shared" si="113"/>
        <v>3</v>
      </c>
      <c r="M337" s="8">
        <f t="shared" si="114"/>
        <v>0</v>
      </c>
      <c r="N337" s="8">
        <f t="shared" si="115"/>
        <v>0</v>
      </c>
      <c r="O337" s="8">
        <f t="shared" si="116"/>
        <v>0</v>
      </c>
      <c r="P337" s="8">
        <f t="shared" si="117"/>
        <v>1</v>
      </c>
      <c r="Q337" s="8">
        <f t="shared" si="118"/>
        <v>0</v>
      </c>
      <c r="R337" s="8">
        <f t="shared" si="119"/>
        <v>0</v>
      </c>
      <c r="S337" s="8">
        <f t="shared" si="120"/>
        <v>0</v>
      </c>
      <c r="T337" s="8">
        <f t="shared" si="121"/>
        <v>1</v>
      </c>
      <c r="V337" s="8">
        <f t="shared" si="110"/>
        <v>3</v>
      </c>
      <c r="W337">
        <f t="shared" si="111"/>
        <v>1</v>
      </c>
      <c r="Y337" t="str">
        <f t="shared" si="112"/>
        <v>joy</v>
      </c>
    </row>
    <row r="338" spans="2:25" x14ac:dyDescent="0.25">
      <c r="B338" s="5">
        <v>336</v>
      </c>
      <c r="C338" t="s">
        <v>6</v>
      </c>
      <c r="D338" t="s">
        <v>2</v>
      </c>
      <c r="E338" t="s">
        <v>5</v>
      </c>
      <c r="F338" t="s">
        <v>2</v>
      </c>
      <c r="G338" t="s">
        <v>2</v>
      </c>
      <c r="J338" s="19">
        <v>1</v>
      </c>
      <c r="K338" s="5">
        <v>336</v>
      </c>
      <c r="L338" s="8">
        <f t="shared" si="113"/>
        <v>0</v>
      </c>
      <c r="M338" s="8">
        <f t="shared" si="114"/>
        <v>0</v>
      </c>
      <c r="N338" s="8">
        <f t="shared" si="115"/>
        <v>1</v>
      </c>
      <c r="O338" s="8">
        <f t="shared" si="116"/>
        <v>0</v>
      </c>
      <c r="P338" s="8">
        <f t="shared" si="117"/>
        <v>1</v>
      </c>
      <c r="Q338" s="8">
        <f t="shared" si="118"/>
        <v>0</v>
      </c>
      <c r="R338" s="8">
        <f t="shared" si="119"/>
        <v>0</v>
      </c>
      <c r="S338" s="8">
        <f t="shared" si="120"/>
        <v>0</v>
      </c>
      <c r="T338" s="8">
        <f t="shared" si="121"/>
        <v>3</v>
      </c>
      <c r="V338" s="8">
        <f t="shared" si="110"/>
        <v>3</v>
      </c>
      <c r="W338">
        <f t="shared" si="111"/>
        <v>1</v>
      </c>
      <c r="Y338" t="str">
        <f t="shared" si="112"/>
        <v>AMBIGUOUS</v>
      </c>
    </row>
    <row r="339" spans="2:25" x14ac:dyDescent="0.25">
      <c r="B339" s="5">
        <v>337</v>
      </c>
      <c r="C339" t="s">
        <v>3</v>
      </c>
      <c r="D339" t="s">
        <v>3</v>
      </c>
      <c r="E339" t="s">
        <v>3</v>
      </c>
      <c r="F339" t="s">
        <v>3</v>
      </c>
      <c r="G339" t="s">
        <v>3</v>
      </c>
      <c r="J339" s="19"/>
      <c r="K339" s="5">
        <v>337</v>
      </c>
      <c r="L339" s="8">
        <f t="shared" si="113"/>
        <v>5</v>
      </c>
      <c r="M339" s="8">
        <f t="shared" si="114"/>
        <v>0</v>
      </c>
      <c r="N339" s="8">
        <f t="shared" si="115"/>
        <v>0</v>
      </c>
      <c r="O339" s="8">
        <f t="shared" si="116"/>
        <v>0</v>
      </c>
      <c r="P339" s="8">
        <f t="shared" si="117"/>
        <v>0</v>
      </c>
      <c r="Q339" s="8">
        <f t="shared" si="118"/>
        <v>0</v>
      </c>
      <c r="R339" s="8">
        <f t="shared" si="119"/>
        <v>0</v>
      </c>
      <c r="S339" s="8">
        <f t="shared" si="120"/>
        <v>0</v>
      </c>
      <c r="T339" s="8">
        <f t="shared" si="121"/>
        <v>0</v>
      </c>
      <c r="V339" s="8">
        <f t="shared" si="110"/>
        <v>5</v>
      </c>
      <c r="W339">
        <f t="shared" si="111"/>
        <v>1</v>
      </c>
      <c r="Y339" t="str">
        <f t="shared" si="112"/>
        <v>joy</v>
      </c>
    </row>
    <row r="340" spans="2:25" x14ac:dyDescent="0.25">
      <c r="B340" s="5">
        <v>338</v>
      </c>
      <c r="C340" t="s">
        <v>3</v>
      </c>
      <c r="D340" t="s">
        <v>3</v>
      </c>
      <c r="E340" t="s">
        <v>3</v>
      </c>
      <c r="F340" t="s">
        <v>3</v>
      </c>
      <c r="G340" t="s">
        <v>7</v>
      </c>
      <c r="J340" s="19"/>
      <c r="K340" s="5">
        <v>338</v>
      </c>
      <c r="L340" s="8">
        <f t="shared" si="113"/>
        <v>4</v>
      </c>
      <c r="M340" s="8">
        <f t="shared" si="114"/>
        <v>0</v>
      </c>
      <c r="N340" s="8">
        <f t="shared" si="115"/>
        <v>0</v>
      </c>
      <c r="O340" s="8">
        <f t="shared" si="116"/>
        <v>1</v>
      </c>
      <c r="P340" s="8">
        <f t="shared" si="117"/>
        <v>0</v>
      </c>
      <c r="Q340" s="8">
        <f t="shared" si="118"/>
        <v>0</v>
      </c>
      <c r="R340" s="8">
        <f t="shared" si="119"/>
        <v>0</v>
      </c>
      <c r="S340" s="8">
        <f t="shared" si="120"/>
        <v>0</v>
      </c>
      <c r="T340" s="8">
        <f t="shared" si="121"/>
        <v>0</v>
      </c>
      <c r="V340" s="8">
        <f t="shared" ref="V340:V403" si="122">MAX(L340:T340)</f>
        <v>4</v>
      </c>
      <c r="W340">
        <f t="shared" ref="W340:W403" si="123">COUNTIF(L340:T340, "=" &amp; V340)</f>
        <v>1</v>
      </c>
      <c r="Y340" t="str">
        <f t="shared" ref="Y340:Y403" si="124">INDEX($L$2:$T$2,MATCH(MAX(L340:T340),L340:T340,0))</f>
        <v>joy</v>
      </c>
    </row>
    <row r="341" spans="2:25" x14ac:dyDescent="0.25">
      <c r="B341" s="5">
        <v>339</v>
      </c>
      <c r="C341" t="s">
        <v>3</v>
      </c>
      <c r="D341" t="s">
        <v>7</v>
      </c>
      <c r="E341" t="s">
        <v>5</v>
      </c>
      <c r="F341" t="s">
        <v>7</v>
      </c>
      <c r="G341" t="s">
        <v>7</v>
      </c>
      <c r="J341" s="19">
        <v>1</v>
      </c>
      <c r="K341" s="5">
        <v>339</v>
      </c>
      <c r="L341" s="8">
        <f t="shared" si="113"/>
        <v>1</v>
      </c>
      <c r="M341" s="8">
        <f t="shared" si="114"/>
        <v>0</v>
      </c>
      <c r="N341" s="8">
        <f t="shared" si="115"/>
        <v>0</v>
      </c>
      <c r="O341" s="8">
        <f t="shared" si="116"/>
        <v>3</v>
      </c>
      <c r="P341" s="8">
        <f t="shared" si="117"/>
        <v>1</v>
      </c>
      <c r="Q341" s="8">
        <f t="shared" si="118"/>
        <v>0</v>
      </c>
      <c r="R341" s="8">
        <f t="shared" si="119"/>
        <v>0</v>
      </c>
      <c r="S341" s="8">
        <f t="shared" si="120"/>
        <v>0</v>
      </c>
      <c r="T341" s="8">
        <f t="shared" si="121"/>
        <v>0</v>
      </c>
      <c r="V341" s="8">
        <f t="shared" si="122"/>
        <v>3</v>
      </c>
      <c r="W341">
        <f t="shared" si="123"/>
        <v>1</v>
      </c>
      <c r="Y341" t="str">
        <f t="shared" si="124"/>
        <v>surprise</v>
      </c>
    </row>
    <row r="342" spans="2:25" x14ac:dyDescent="0.25">
      <c r="B342" s="5">
        <v>340</v>
      </c>
      <c r="C342" t="s">
        <v>3</v>
      </c>
      <c r="D342" t="s">
        <v>3</v>
      </c>
      <c r="E342" t="s">
        <v>3</v>
      </c>
      <c r="F342" t="s">
        <v>3</v>
      </c>
      <c r="G342" t="s">
        <v>8</v>
      </c>
      <c r="J342" s="19"/>
      <c r="K342" s="5">
        <v>340</v>
      </c>
      <c r="L342" s="8">
        <f t="shared" si="113"/>
        <v>4</v>
      </c>
      <c r="M342" s="8">
        <f t="shared" si="114"/>
        <v>0</v>
      </c>
      <c r="N342" s="8">
        <f t="shared" si="115"/>
        <v>0</v>
      </c>
      <c r="O342" s="8">
        <f t="shared" si="116"/>
        <v>0</v>
      </c>
      <c r="P342" s="8">
        <f t="shared" si="117"/>
        <v>0</v>
      </c>
      <c r="Q342" s="8">
        <f t="shared" si="118"/>
        <v>0</v>
      </c>
      <c r="R342" s="8">
        <f t="shared" si="119"/>
        <v>0</v>
      </c>
      <c r="S342" s="8">
        <f t="shared" si="120"/>
        <v>1</v>
      </c>
      <c r="T342" s="8">
        <f t="shared" si="121"/>
        <v>0</v>
      </c>
      <c r="V342" s="8">
        <f t="shared" si="122"/>
        <v>4</v>
      </c>
      <c r="W342">
        <f t="shared" si="123"/>
        <v>1</v>
      </c>
      <c r="Y342" t="str">
        <f t="shared" si="124"/>
        <v>joy</v>
      </c>
    </row>
    <row r="343" spans="2:25" x14ac:dyDescent="0.25">
      <c r="B343" s="5">
        <v>341</v>
      </c>
      <c r="C343" t="s">
        <v>3</v>
      </c>
      <c r="D343" t="s">
        <v>5</v>
      </c>
      <c r="E343" t="s">
        <v>5</v>
      </c>
      <c r="F343" t="s">
        <v>5</v>
      </c>
      <c r="G343" t="s">
        <v>1</v>
      </c>
      <c r="J343" s="19">
        <v>1</v>
      </c>
      <c r="K343" s="5">
        <v>341</v>
      </c>
      <c r="L343" s="8">
        <f t="shared" si="113"/>
        <v>1</v>
      </c>
      <c r="M343" s="8">
        <f t="shared" si="114"/>
        <v>1</v>
      </c>
      <c r="N343" s="8">
        <f t="shared" si="115"/>
        <v>0</v>
      </c>
      <c r="O343" s="8">
        <f t="shared" si="116"/>
        <v>0</v>
      </c>
      <c r="P343" s="8">
        <f t="shared" si="117"/>
        <v>3</v>
      </c>
      <c r="Q343" s="8">
        <f t="shared" si="118"/>
        <v>0</v>
      </c>
      <c r="R343" s="8">
        <f t="shared" si="119"/>
        <v>0</v>
      </c>
      <c r="S343" s="8">
        <f t="shared" si="120"/>
        <v>0</v>
      </c>
      <c r="T343" s="8">
        <f t="shared" si="121"/>
        <v>0</v>
      </c>
      <c r="V343" s="8">
        <f t="shared" si="122"/>
        <v>3</v>
      </c>
      <c r="W343">
        <f t="shared" si="123"/>
        <v>1</v>
      </c>
      <c r="Y343" t="str">
        <f t="shared" si="124"/>
        <v>sadness</v>
      </c>
    </row>
    <row r="344" spans="2:25" x14ac:dyDescent="0.25">
      <c r="B344" s="5">
        <v>342</v>
      </c>
      <c r="C344" t="s">
        <v>0</v>
      </c>
      <c r="D344" t="s">
        <v>3</v>
      </c>
      <c r="E344" t="s">
        <v>3</v>
      </c>
      <c r="F344" t="s">
        <v>3</v>
      </c>
      <c r="G344" t="s">
        <v>8</v>
      </c>
      <c r="J344" s="19">
        <v>1</v>
      </c>
      <c r="K344" s="5">
        <v>342</v>
      </c>
      <c r="L344" s="8">
        <f t="shared" si="113"/>
        <v>3</v>
      </c>
      <c r="M344" s="8">
        <f t="shared" si="114"/>
        <v>0</v>
      </c>
      <c r="N344" s="8">
        <f t="shared" si="115"/>
        <v>0</v>
      </c>
      <c r="O344" s="8">
        <f t="shared" si="116"/>
        <v>0</v>
      </c>
      <c r="P344" s="8">
        <f t="shared" si="117"/>
        <v>0</v>
      </c>
      <c r="Q344" s="8">
        <f t="shared" si="118"/>
        <v>1</v>
      </c>
      <c r="R344" s="8">
        <f t="shared" si="119"/>
        <v>0</v>
      </c>
      <c r="S344" s="8">
        <f t="shared" si="120"/>
        <v>1</v>
      </c>
      <c r="T344" s="8">
        <f t="shared" si="121"/>
        <v>0</v>
      </c>
      <c r="V344" s="8">
        <f t="shared" si="122"/>
        <v>3</v>
      </c>
      <c r="W344">
        <f t="shared" si="123"/>
        <v>1</v>
      </c>
      <c r="Y344" t="str">
        <f t="shared" si="124"/>
        <v>joy</v>
      </c>
    </row>
    <row r="345" spans="2:25" x14ac:dyDescent="0.25">
      <c r="B345" s="5">
        <v>343</v>
      </c>
      <c r="C345" t="s">
        <v>0</v>
      </c>
      <c r="D345" t="s">
        <v>8</v>
      </c>
      <c r="E345" t="s">
        <v>5</v>
      </c>
      <c r="F345" t="s">
        <v>8</v>
      </c>
      <c r="G345" t="s">
        <v>8</v>
      </c>
      <c r="J345" s="19">
        <v>1</v>
      </c>
      <c r="K345" s="5">
        <v>343</v>
      </c>
      <c r="L345" s="8">
        <f t="shared" si="113"/>
        <v>0</v>
      </c>
      <c r="M345" s="8">
        <f t="shared" si="114"/>
        <v>0</v>
      </c>
      <c r="N345" s="8">
        <f t="shared" si="115"/>
        <v>0</v>
      </c>
      <c r="O345" s="8">
        <f t="shared" si="116"/>
        <v>0</v>
      </c>
      <c r="P345" s="8">
        <f t="shared" si="117"/>
        <v>1</v>
      </c>
      <c r="Q345" s="8">
        <f t="shared" si="118"/>
        <v>1</v>
      </c>
      <c r="R345" s="8">
        <f t="shared" si="119"/>
        <v>0</v>
      </c>
      <c r="S345" s="8">
        <f t="shared" si="120"/>
        <v>3</v>
      </c>
      <c r="T345" s="8">
        <f t="shared" si="121"/>
        <v>0</v>
      </c>
      <c r="V345" s="8">
        <f t="shared" si="122"/>
        <v>3</v>
      </c>
      <c r="W345">
        <f t="shared" si="123"/>
        <v>1</v>
      </c>
      <c r="Y345" t="str">
        <f t="shared" si="124"/>
        <v>anticipation</v>
      </c>
    </row>
    <row r="346" spans="2:25" x14ac:dyDescent="0.25">
      <c r="B346" s="5">
        <v>344</v>
      </c>
      <c r="C346" t="s">
        <v>3</v>
      </c>
      <c r="D346" t="s">
        <v>3</v>
      </c>
      <c r="E346" t="s">
        <v>3</v>
      </c>
      <c r="F346" t="s">
        <v>3</v>
      </c>
      <c r="G346" t="s">
        <v>1</v>
      </c>
      <c r="J346" s="19"/>
      <c r="K346" s="5">
        <v>344</v>
      </c>
      <c r="L346" s="8">
        <f t="shared" si="113"/>
        <v>4</v>
      </c>
      <c r="M346" s="8">
        <f t="shared" si="114"/>
        <v>1</v>
      </c>
      <c r="N346" s="8">
        <f t="shared" si="115"/>
        <v>0</v>
      </c>
      <c r="O346" s="8">
        <f t="shared" si="116"/>
        <v>0</v>
      </c>
      <c r="P346" s="8">
        <f t="shared" si="117"/>
        <v>0</v>
      </c>
      <c r="Q346" s="8">
        <f t="shared" si="118"/>
        <v>0</v>
      </c>
      <c r="R346" s="8">
        <f t="shared" si="119"/>
        <v>0</v>
      </c>
      <c r="S346" s="8">
        <f t="shared" si="120"/>
        <v>0</v>
      </c>
      <c r="T346" s="8">
        <f t="shared" si="121"/>
        <v>0</v>
      </c>
      <c r="V346" s="8">
        <f t="shared" si="122"/>
        <v>4</v>
      </c>
      <c r="W346">
        <f t="shared" si="123"/>
        <v>1</v>
      </c>
      <c r="Y346" t="str">
        <f t="shared" si="124"/>
        <v>joy</v>
      </c>
    </row>
    <row r="347" spans="2:25" x14ac:dyDescent="0.25">
      <c r="B347" s="5">
        <v>345</v>
      </c>
      <c r="C347" t="s">
        <v>0</v>
      </c>
      <c r="D347" t="s">
        <v>3</v>
      </c>
      <c r="E347" t="s">
        <v>3</v>
      </c>
      <c r="F347" t="s">
        <v>3</v>
      </c>
      <c r="G347" t="s">
        <v>2</v>
      </c>
      <c r="J347" s="19">
        <v>1</v>
      </c>
      <c r="K347" s="5">
        <v>345</v>
      </c>
      <c r="L347" s="8">
        <f t="shared" si="113"/>
        <v>3</v>
      </c>
      <c r="M347" s="8">
        <f t="shared" si="114"/>
        <v>0</v>
      </c>
      <c r="N347" s="8">
        <f t="shared" si="115"/>
        <v>0</v>
      </c>
      <c r="O347" s="8">
        <f t="shared" si="116"/>
        <v>0</v>
      </c>
      <c r="P347" s="8">
        <f t="shared" si="117"/>
        <v>0</v>
      </c>
      <c r="Q347" s="8">
        <f t="shared" si="118"/>
        <v>1</v>
      </c>
      <c r="R347" s="8">
        <f t="shared" si="119"/>
        <v>0</v>
      </c>
      <c r="S347" s="8">
        <f t="shared" si="120"/>
        <v>0</v>
      </c>
      <c r="T347" s="8">
        <f t="shared" si="121"/>
        <v>1</v>
      </c>
      <c r="V347" s="8">
        <f t="shared" si="122"/>
        <v>3</v>
      </c>
      <c r="W347">
        <f t="shared" si="123"/>
        <v>1</v>
      </c>
      <c r="Y347" t="str">
        <f t="shared" si="124"/>
        <v>joy</v>
      </c>
    </row>
    <row r="348" spans="2:25" x14ac:dyDescent="0.25">
      <c r="B348" s="5">
        <v>346</v>
      </c>
      <c r="C348" t="s">
        <v>3</v>
      </c>
      <c r="D348" t="s">
        <v>3</v>
      </c>
      <c r="E348" t="s">
        <v>3</v>
      </c>
      <c r="F348" t="s">
        <v>3</v>
      </c>
      <c r="G348" t="s">
        <v>8</v>
      </c>
      <c r="J348" s="19"/>
      <c r="K348" s="5">
        <v>346</v>
      </c>
      <c r="L348" s="8">
        <f t="shared" si="113"/>
        <v>4</v>
      </c>
      <c r="M348" s="8">
        <f t="shared" si="114"/>
        <v>0</v>
      </c>
      <c r="N348" s="8">
        <f t="shared" si="115"/>
        <v>0</v>
      </c>
      <c r="O348" s="8">
        <f t="shared" si="116"/>
        <v>0</v>
      </c>
      <c r="P348" s="8">
        <f t="shared" si="117"/>
        <v>0</v>
      </c>
      <c r="Q348" s="8">
        <f t="shared" si="118"/>
        <v>0</v>
      </c>
      <c r="R348" s="8">
        <f t="shared" si="119"/>
        <v>0</v>
      </c>
      <c r="S348" s="8">
        <f t="shared" si="120"/>
        <v>1</v>
      </c>
      <c r="T348" s="8">
        <f t="shared" si="121"/>
        <v>0</v>
      </c>
      <c r="V348" s="8">
        <f t="shared" si="122"/>
        <v>4</v>
      </c>
      <c r="W348">
        <f t="shared" si="123"/>
        <v>1</v>
      </c>
      <c r="Y348" t="str">
        <f t="shared" si="124"/>
        <v>joy</v>
      </c>
    </row>
    <row r="349" spans="2:25" x14ac:dyDescent="0.25">
      <c r="B349" s="5">
        <v>347</v>
      </c>
      <c r="C349" t="s">
        <v>0</v>
      </c>
      <c r="D349" t="s">
        <v>8</v>
      </c>
      <c r="E349" t="s">
        <v>5</v>
      </c>
      <c r="F349" t="s">
        <v>8</v>
      </c>
      <c r="G349" t="s">
        <v>8</v>
      </c>
      <c r="J349" s="19">
        <v>1</v>
      </c>
      <c r="K349" s="5">
        <v>347</v>
      </c>
      <c r="L349" s="8">
        <f t="shared" si="113"/>
        <v>0</v>
      </c>
      <c r="M349" s="8">
        <f t="shared" si="114"/>
        <v>0</v>
      </c>
      <c r="N349" s="8">
        <f t="shared" si="115"/>
        <v>0</v>
      </c>
      <c r="O349" s="8">
        <f t="shared" si="116"/>
        <v>0</v>
      </c>
      <c r="P349" s="8">
        <f t="shared" si="117"/>
        <v>1</v>
      </c>
      <c r="Q349" s="8">
        <f t="shared" si="118"/>
        <v>1</v>
      </c>
      <c r="R349" s="8">
        <f t="shared" si="119"/>
        <v>0</v>
      </c>
      <c r="S349" s="8">
        <f t="shared" si="120"/>
        <v>3</v>
      </c>
      <c r="T349" s="8">
        <f t="shared" si="121"/>
        <v>0</v>
      </c>
      <c r="V349" s="8">
        <f t="shared" si="122"/>
        <v>3</v>
      </c>
      <c r="W349">
        <f t="shared" si="123"/>
        <v>1</v>
      </c>
      <c r="Y349" t="str">
        <f t="shared" si="124"/>
        <v>anticipation</v>
      </c>
    </row>
    <row r="350" spans="2:25" x14ac:dyDescent="0.25">
      <c r="B350" s="5">
        <v>348</v>
      </c>
      <c r="C350" t="s">
        <v>1</v>
      </c>
      <c r="D350" t="s">
        <v>3</v>
      </c>
      <c r="E350" t="s">
        <v>3</v>
      </c>
      <c r="F350" t="s">
        <v>3</v>
      </c>
      <c r="G350" t="s">
        <v>7</v>
      </c>
      <c r="J350" s="19">
        <v>1</v>
      </c>
      <c r="K350" s="5">
        <v>348</v>
      </c>
      <c r="L350" s="8">
        <f t="shared" si="113"/>
        <v>3</v>
      </c>
      <c r="M350" s="8">
        <f t="shared" si="114"/>
        <v>1</v>
      </c>
      <c r="N350" s="8">
        <f t="shared" si="115"/>
        <v>0</v>
      </c>
      <c r="O350" s="8">
        <f t="shared" si="116"/>
        <v>1</v>
      </c>
      <c r="P350" s="8">
        <f t="shared" si="117"/>
        <v>0</v>
      </c>
      <c r="Q350" s="8">
        <f t="shared" si="118"/>
        <v>0</v>
      </c>
      <c r="R350" s="8">
        <f t="shared" si="119"/>
        <v>0</v>
      </c>
      <c r="S350" s="8">
        <f t="shared" si="120"/>
        <v>0</v>
      </c>
      <c r="T350" s="8">
        <f t="shared" si="121"/>
        <v>0</v>
      </c>
      <c r="V350" s="8">
        <f t="shared" si="122"/>
        <v>3</v>
      </c>
      <c r="W350">
        <f t="shared" si="123"/>
        <v>1</v>
      </c>
      <c r="Y350" t="str">
        <f t="shared" si="124"/>
        <v>joy</v>
      </c>
    </row>
    <row r="351" spans="2:25" x14ac:dyDescent="0.25">
      <c r="B351" s="5">
        <v>349</v>
      </c>
      <c r="C351" t="s">
        <v>3</v>
      </c>
      <c r="D351" t="s">
        <v>5</v>
      </c>
      <c r="E351" t="s">
        <v>5</v>
      </c>
      <c r="F351" t="s">
        <v>5</v>
      </c>
      <c r="G351" t="s">
        <v>1</v>
      </c>
      <c r="J351" s="19">
        <v>1</v>
      </c>
      <c r="K351" s="5">
        <v>349</v>
      </c>
      <c r="L351" s="8">
        <f t="shared" si="113"/>
        <v>1</v>
      </c>
      <c r="M351" s="8">
        <f t="shared" si="114"/>
        <v>1</v>
      </c>
      <c r="N351" s="8">
        <f t="shared" si="115"/>
        <v>0</v>
      </c>
      <c r="O351" s="8">
        <f t="shared" si="116"/>
        <v>0</v>
      </c>
      <c r="P351" s="8">
        <f t="shared" si="117"/>
        <v>3</v>
      </c>
      <c r="Q351" s="8">
        <f t="shared" si="118"/>
        <v>0</v>
      </c>
      <c r="R351" s="8">
        <f t="shared" si="119"/>
        <v>0</v>
      </c>
      <c r="S351" s="8">
        <f t="shared" si="120"/>
        <v>0</v>
      </c>
      <c r="T351" s="8">
        <f t="shared" si="121"/>
        <v>0</v>
      </c>
      <c r="V351" s="8">
        <f t="shared" si="122"/>
        <v>3</v>
      </c>
      <c r="W351">
        <f t="shared" si="123"/>
        <v>1</v>
      </c>
      <c r="Y351" t="str">
        <f t="shared" si="124"/>
        <v>sadness</v>
      </c>
    </row>
    <row r="352" spans="2:25" x14ac:dyDescent="0.25">
      <c r="B352" s="5">
        <v>350</v>
      </c>
      <c r="C352" t="s">
        <v>0</v>
      </c>
      <c r="D352" t="s">
        <v>1</v>
      </c>
      <c r="E352" t="s">
        <v>5</v>
      </c>
      <c r="F352" t="s">
        <v>1</v>
      </c>
      <c r="G352" t="s">
        <v>1</v>
      </c>
      <c r="J352" s="19">
        <v>1</v>
      </c>
      <c r="K352" s="5">
        <v>350</v>
      </c>
      <c r="L352" s="8">
        <f t="shared" si="113"/>
        <v>0</v>
      </c>
      <c r="M352" s="8">
        <f t="shared" si="114"/>
        <v>3</v>
      </c>
      <c r="N352" s="8">
        <f t="shared" si="115"/>
        <v>0</v>
      </c>
      <c r="O352" s="8">
        <f t="shared" si="116"/>
        <v>0</v>
      </c>
      <c r="P352" s="8">
        <f t="shared" si="117"/>
        <v>1</v>
      </c>
      <c r="Q352" s="8">
        <f t="shared" si="118"/>
        <v>1</v>
      </c>
      <c r="R352" s="8">
        <f t="shared" si="119"/>
        <v>0</v>
      </c>
      <c r="S352" s="8">
        <f t="shared" si="120"/>
        <v>0</v>
      </c>
      <c r="T352" s="8">
        <f t="shared" si="121"/>
        <v>0</v>
      </c>
      <c r="V352" s="8">
        <f t="shared" si="122"/>
        <v>3</v>
      </c>
      <c r="W352">
        <f t="shared" si="123"/>
        <v>1</v>
      </c>
      <c r="Y352" t="str">
        <f t="shared" si="124"/>
        <v>trust</v>
      </c>
    </row>
    <row r="353" spans="2:25" x14ac:dyDescent="0.25">
      <c r="B353" s="5">
        <v>351</v>
      </c>
      <c r="C353" t="s">
        <v>1</v>
      </c>
      <c r="D353" t="s">
        <v>1</v>
      </c>
      <c r="E353" t="s">
        <v>5</v>
      </c>
      <c r="F353" t="s">
        <v>1</v>
      </c>
      <c r="G353" t="s">
        <v>2</v>
      </c>
      <c r="J353" s="19">
        <v>1</v>
      </c>
      <c r="K353" s="5">
        <v>351</v>
      </c>
      <c r="L353" s="8">
        <f t="shared" si="113"/>
        <v>0</v>
      </c>
      <c r="M353" s="8">
        <f t="shared" si="114"/>
        <v>3</v>
      </c>
      <c r="N353" s="8">
        <f t="shared" si="115"/>
        <v>0</v>
      </c>
      <c r="O353" s="8">
        <f t="shared" si="116"/>
        <v>0</v>
      </c>
      <c r="P353" s="8">
        <f t="shared" si="117"/>
        <v>1</v>
      </c>
      <c r="Q353" s="8">
        <f t="shared" si="118"/>
        <v>0</v>
      </c>
      <c r="R353" s="8">
        <f t="shared" si="119"/>
        <v>0</v>
      </c>
      <c r="S353" s="8">
        <f t="shared" si="120"/>
        <v>0</v>
      </c>
      <c r="T353" s="8">
        <f t="shared" si="121"/>
        <v>1</v>
      </c>
      <c r="V353" s="8">
        <f t="shared" si="122"/>
        <v>3</v>
      </c>
      <c r="W353">
        <f t="shared" si="123"/>
        <v>1</v>
      </c>
      <c r="Y353" t="str">
        <f t="shared" si="124"/>
        <v>trust</v>
      </c>
    </row>
    <row r="354" spans="2:25" x14ac:dyDescent="0.25">
      <c r="B354" s="5">
        <v>352</v>
      </c>
      <c r="C354" t="s">
        <v>0</v>
      </c>
      <c r="D354" t="s">
        <v>3</v>
      </c>
      <c r="E354" t="s">
        <v>3</v>
      </c>
      <c r="F354" t="s">
        <v>3</v>
      </c>
      <c r="G354" t="s">
        <v>1</v>
      </c>
      <c r="J354" s="19">
        <v>1</v>
      </c>
      <c r="K354" s="5">
        <v>352</v>
      </c>
      <c r="L354" s="8">
        <f t="shared" si="113"/>
        <v>3</v>
      </c>
      <c r="M354" s="8">
        <f t="shared" si="114"/>
        <v>1</v>
      </c>
      <c r="N354" s="8">
        <f t="shared" si="115"/>
        <v>0</v>
      </c>
      <c r="O354" s="8">
        <f t="shared" si="116"/>
        <v>0</v>
      </c>
      <c r="P354" s="8">
        <f t="shared" si="117"/>
        <v>0</v>
      </c>
      <c r="Q354" s="8">
        <f t="shared" si="118"/>
        <v>1</v>
      </c>
      <c r="R354" s="8">
        <f t="shared" si="119"/>
        <v>0</v>
      </c>
      <c r="S354" s="8">
        <f t="shared" si="120"/>
        <v>0</v>
      </c>
      <c r="T354" s="8">
        <f t="shared" si="121"/>
        <v>0</v>
      </c>
      <c r="V354" s="8">
        <f t="shared" si="122"/>
        <v>3</v>
      </c>
      <c r="W354">
        <f t="shared" si="123"/>
        <v>1</v>
      </c>
      <c r="Y354" t="str">
        <f t="shared" si="124"/>
        <v>joy</v>
      </c>
    </row>
    <row r="355" spans="2:25" x14ac:dyDescent="0.25">
      <c r="B355" s="5">
        <v>353</v>
      </c>
      <c r="C355" t="s">
        <v>0</v>
      </c>
      <c r="D355" t="s">
        <v>3</v>
      </c>
      <c r="E355" t="s">
        <v>3</v>
      </c>
      <c r="F355" t="s">
        <v>3</v>
      </c>
      <c r="G355" t="s">
        <v>3</v>
      </c>
      <c r="J355" s="19"/>
      <c r="K355" s="5">
        <v>353</v>
      </c>
      <c r="L355" s="8">
        <f t="shared" si="113"/>
        <v>4</v>
      </c>
      <c r="M355" s="8">
        <f t="shared" si="114"/>
        <v>0</v>
      </c>
      <c r="N355" s="8">
        <f t="shared" si="115"/>
        <v>0</v>
      </c>
      <c r="O355" s="8">
        <f t="shared" si="116"/>
        <v>0</v>
      </c>
      <c r="P355" s="8">
        <f t="shared" si="117"/>
        <v>0</v>
      </c>
      <c r="Q355" s="8">
        <f t="shared" si="118"/>
        <v>1</v>
      </c>
      <c r="R355" s="8">
        <f t="shared" si="119"/>
        <v>0</v>
      </c>
      <c r="S355" s="8">
        <f t="shared" si="120"/>
        <v>0</v>
      </c>
      <c r="T355" s="8">
        <f t="shared" si="121"/>
        <v>0</v>
      </c>
      <c r="V355" s="8">
        <f t="shared" si="122"/>
        <v>4</v>
      </c>
      <c r="W355">
        <f t="shared" si="123"/>
        <v>1</v>
      </c>
      <c r="Y355" t="str">
        <f t="shared" si="124"/>
        <v>joy</v>
      </c>
    </row>
    <row r="356" spans="2:25" x14ac:dyDescent="0.25">
      <c r="B356" s="5">
        <v>354</v>
      </c>
      <c r="C356" t="s">
        <v>0</v>
      </c>
      <c r="D356" t="s">
        <v>0</v>
      </c>
      <c r="E356" t="s">
        <v>5</v>
      </c>
      <c r="F356" t="s">
        <v>0</v>
      </c>
      <c r="G356" t="s">
        <v>3</v>
      </c>
      <c r="J356" s="19">
        <v>1</v>
      </c>
      <c r="K356" s="5">
        <v>354</v>
      </c>
      <c r="L356" s="8">
        <f t="shared" si="113"/>
        <v>1</v>
      </c>
      <c r="M356" s="8">
        <f t="shared" si="114"/>
        <v>0</v>
      </c>
      <c r="N356" s="8">
        <f t="shared" si="115"/>
        <v>0</v>
      </c>
      <c r="O356" s="8">
        <f t="shared" si="116"/>
        <v>0</v>
      </c>
      <c r="P356" s="8">
        <f t="shared" si="117"/>
        <v>1</v>
      </c>
      <c r="Q356" s="8">
        <f t="shared" si="118"/>
        <v>3</v>
      </c>
      <c r="R356" s="8">
        <f t="shared" si="119"/>
        <v>0</v>
      </c>
      <c r="S356" s="8">
        <f t="shared" si="120"/>
        <v>0</v>
      </c>
      <c r="T356" s="8">
        <f t="shared" si="121"/>
        <v>0</v>
      </c>
      <c r="V356" s="8">
        <f t="shared" si="122"/>
        <v>3</v>
      </c>
      <c r="W356">
        <f t="shared" si="123"/>
        <v>1</v>
      </c>
      <c r="Y356" t="str">
        <f t="shared" si="124"/>
        <v>disgust</v>
      </c>
    </row>
    <row r="357" spans="2:25" x14ac:dyDescent="0.25">
      <c r="B357" s="5">
        <v>355</v>
      </c>
      <c r="C357" t="s">
        <v>3</v>
      </c>
      <c r="D357" t="s">
        <v>3</v>
      </c>
      <c r="E357" t="s">
        <v>3</v>
      </c>
      <c r="F357" t="s">
        <v>3</v>
      </c>
      <c r="G357" t="s">
        <v>8</v>
      </c>
      <c r="J357" s="19"/>
      <c r="K357" s="5">
        <v>355</v>
      </c>
      <c r="L357" s="8">
        <f t="shared" si="113"/>
        <v>4</v>
      </c>
      <c r="M357" s="8">
        <f t="shared" si="114"/>
        <v>0</v>
      </c>
      <c r="N357" s="8">
        <f t="shared" si="115"/>
        <v>0</v>
      </c>
      <c r="O357" s="8">
        <f t="shared" si="116"/>
        <v>0</v>
      </c>
      <c r="P357" s="8">
        <f t="shared" si="117"/>
        <v>0</v>
      </c>
      <c r="Q357" s="8">
        <f t="shared" si="118"/>
        <v>0</v>
      </c>
      <c r="R357" s="8">
        <f t="shared" si="119"/>
        <v>0</v>
      </c>
      <c r="S357" s="8">
        <f t="shared" si="120"/>
        <v>1</v>
      </c>
      <c r="T357" s="8">
        <f t="shared" si="121"/>
        <v>0</v>
      </c>
      <c r="V357" s="8">
        <f t="shared" si="122"/>
        <v>4</v>
      </c>
      <c r="W357">
        <f t="shared" si="123"/>
        <v>1</v>
      </c>
      <c r="Y357" t="str">
        <f t="shared" si="124"/>
        <v>joy</v>
      </c>
    </row>
    <row r="358" spans="2:25" x14ac:dyDescent="0.25">
      <c r="B358" s="5">
        <v>356</v>
      </c>
      <c r="C358" t="s">
        <v>3</v>
      </c>
      <c r="D358" t="s">
        <v>3</v>
      </c>
      <c r="E358" t="s">
        <v>3</v>
      </c>
      <c r="F358" t="s">
        <v>3</v>
      </c>
      <c r="G358" t="s">
        <v>3</v>
      </c>
      <c r="J358" s="19"/>
      <c r="K358" s="5">
        <v>356</v>
      </c>
      <c r="L358" s="8">
        <f t="shared" si="113"/>
        <v>5</v>
      </c>
      <c r="M358" s="8">
        <f t="shared" si="114"/>
        <v>0</v>
      </c>
      <c r="N358" s="8">
        <f t="shared" si="115"/>
        <v>0</v>
      </c>
      <c r="O358" s="8">
        <f t="shared" si="116"/>
        <v>0</v>
      </c>
      <c r="P358" s="8">
        <f t="shared" si="117"/>
        <v>0</v>
      </c>
      <c r="Q358" s="8">
        <f t="shared" si="118"/>
        <v>0</v>
      </c>
      <c r="R358" s="8">
        <f t="shared" si="119"/>
        <v>0</v>
      </c>
      <c r="S358" s="8">
        <f t="shared" si="120"/>
        <v>0</v>
      </c>
      <c r="T358" s="8">
        <f t="shared" si="121"/>
        <v>0</v>
      </c>
      <c r="V358" s="8">
        <f t="shared" si="122"/>
        <v>5</v>
      </c>
      <c r="W358">
        <f t="shared" si="123"/>
        <v>1</v>
      </c>
      <c r="Y358" t="str">
        <f t="shared" si="124"/>
        <v>joy</v>
      </c>
    </row>
    <row r="359" spans="2:25" x14ac:dyDescent="0.25">
      <c r="B359" s="5">
        <v>357</v>
      </c>
      <c r="C359" t="s">
        <v>0</v>
      </c>
      <c r="D359" t="s">
        <v>5</v>
      </c>
      <c r="E359" t="s">
        <v>5</v>
      </c>
      <c r="F359" t="s">
        <v>5</v>
      </c>
      <c r="G359" t="s">
        <v>7</v>
      </c>
      <c r="J359" s="19">
        <v>1</v>
      </c>
      <c r="K359" s="5">
        <v>357</v>
      </c>
      <c r="L359" s="8">
        <f t="shared" si="113"/>
        <v>0</v>
      </c>
      <c r="M359" s="8">
        <f t="shared" si="114"/>
        <v>0</v>
      </c>
      <c r="N359" s="8">
        <f t="shared" si="115"/>
        <v>0</v>
      </c>
      <c r="O359" s="8">
        <f t="shared" si="116"/>
        <v>1</v>
      </c>
      <c r="P359" s="8">
        <f t="shared" si="117"/>
        <v>3</v>
      </c>
      <c r="Q359" s="8">
        <f t="shared" si="118"/>
        <v>1</v>
      </c>
      <c r="R359" s="8">
        <f t="shared" si="119"/>
        <v>0</v>
      </c>
      <c r="S359" s="8">
        <f t="shared" si="120"/>
        <v>0</v>
      </c>
      <c r="T359" s="8">
        <f t="shared" si="121"/>
        <v>0</v>
      </c>
      <c r="V359" s="8">
        <f t="shared" si="122"/>
        <v>3</v>
      </c>
      <c r="W359">
        <f t="shared" si="123"/>
        <v>1</v>
      </c>
      <c r="Y359" t="str">
        <f t="shared" si="124"/>
        <v>sadness</v>
      </c>
    </row>
    <row r="360" spans="2:25" x14ac:dyDescent="0.25">
      <c r="B360" s="5">
        <v>358</v>
      </c>
      <c r="C360" t="s">
        <v>3</v>
      </c>
      <c r="D360" t="s">
        <v>8</v>
      </c>
      <c r="E360" t="s">
        <v>5</v>
      </c>
      <c r="F360" t="s">
        <v>8</v>
      </c>
      <c r="G360" t="s">
        <v>8</v>
      </c>
      <c r="J360" s="19">
        <v>1</v>
      </c>
      <c r="K360" s="5">
        <v>358</v>
      </c>
      <c r="L360" s="8">
        <f t="shared" si="113"/>
        <v>1</v>
      </c>
      <c r="M360" s="8">
        <f t="shared" si="114"/>
        <v>0</v>
      </c>
      <c r="N360" s="8">
        <f t="shared" si="115"/>
        <v>0</v>
      </c>
      <c r="O360" s="8">
        <f t="shared" si="116"/>
        <v>0</v>
      </c>
      <c r="P360" s="8">
        <f t="shared" si="117"/>
        <v>1</v>
      </c>
      <c r="Q360" s="8">
        <f t="shared" si="118"/>
        <v>0</v>
      </c>
      <c r="R360" s="8">
        <f t="shared" si="119"/>
        <v>0</v>
      </c>
      <c r="S360" s="8">
        <f t="shared" si="120"/>
        <v>3</v>
      </c>
      <c r="T360" s="8">
        <f t="shared" si="121"/>
        <v>0</v>
      </c>
      <c r="V360" s="8">
        <f t="shared" si="122"/>
        <v>3</v>
      </c>
      <c r="W360">
        <f t="shared" si="123"/>
        <v>1</v>
      </c>
      <c r="Y360" t="str">
        <f t="shared" si="124"/>
        <v>anticipation</v>
      </c>
    </row>
    <row r="361" spans="2:25" x14ac:dyDescent="0.25">
      <c r="B361" s="5">
        <v>359</v>
      </c>
      <c r="C361" t="s">
        <v>0</v>
      </c>
      <c r="D361" t="s">
        <v>5</v>
      </c>
      <c r="E361" t="s">
        <v>5</v>
      </c>
      <c r="F361" t="s">
        <v>5</v>
      </c>
      <c r="G361" t="s">
        <v>7</v>
      </c>
      <c r="J361" s="19">
        <v>1</v>
      </c>
      <c r="K361" s="5">
        <v>359</v>
      </c>
      <c r="L361" s="8">
        <f t="shared" si="113"/>
        <v>0</v>
      </c>
      <c r="M361" s="8">
        <f t="shared" si="114"/>
        <v>0</v>
      </c>
      <c r="N361" s="8">
        <f t="shared" si="115"/>
        <v>0</v>
      </c>
      <c r="O361" s="8">
        <f t="shared" si="116"/>
        <v>1</v>
      </c>
      <c r="P361" s="8">
        <f t="shared" si="117"/>
        <v>3</v>
      </c>
      <c r="Q361" s="8">
        <f t="shared" si="118"/>
        <v>1</v>
      </c>
      <c r="R361" s="8">
        <f t="shared" si="119"/>
        <v>0</v>
      </c>
      <c r="S361" s="8">
        <f t="shared" si="120"/>
        <v>0</v>
      </c>
      <c r="T361" s="8">
        <f t="shared" si="121"/>
        <v>0</v>
      </c>
      <c r="V361" s="8">
        <f t="shared" si="122"/>
        <v>3</v>
      </c>
      <c r="W361">
        <f t="shared" si="123"/>
        <v>1</v>
      </c>
      <c r="Y361" t="str">
        <f t="shared" si="124"/>
        <v>sadness</v>
      </c>
    </row>
    <row r="362" spans="2:25" x14ac:dyDescent="0.25">
      <c r="B362" s="5">
        <v>360</v>
      </c>
      <c r="C362" t="s">
        <v>3</v>
      </c>
      <c r="D362" t="s">
        <v>3</v>
      </c>
      <c r="E362" t="s">
        <v>5</v>
      </c>
      <c r="F362" t="s">
        <v>3</v>
      </c>
      <c r="G362" t="s">
        <v>3</v>
      </c>
      <c r="J362" s="19"/>
      <c r="K362" s="5">
        <v>360</v>
      </c>
      <c r="L362" s="8">
        <f t="shared" si="113"/>
        <v>4</v>
      </c>
      <c r="M362" s="8">
        <f t="shared" si="114"/>
        <v>0</v>
      </c>
      <c r="N362" s="8">
        <f t="shared" si="115"/>
        <v>0</v>
      </c>
      <c r="O362" s="8">
        <f t="shared" si="116"/>
        <v>0</v>
      </c>
      <c r="P362" s="8">
        <f t="shared" si="117"/>
        <v>1</v>
      </c>
      <c r="Q362" s="8">
        <f t="shared" si="118"/>
        <v>0</v>
      </c>
      <c r="R362" s="8">
        <f t="shared" si="119"/>
        <v>0</v>
      </c>
      <c r="S362" s="8">
        <f t="shared" si="120"/>
        <v>0</v>
      </c>
      <c r="T362" s="8">
        <f t="shared" si="121"/>
        <v>0</v>
      </c>
      <c r="V362" s="8">
        <f t="shared" si="122"/>
        <v>4</v>
      </c>
      <c r="W362">
        <f t="shared" si="123"/>
        <v>1</v>
      </c>
      <c r="Y362" t="str">
        <f t="shared" si="124"/>
        <v>joy</v>
      </c>
    </row>
    <row r="363" spans="2:25" x14ac:dyDescent="0.25">
      <c r="B363" s="5">
        <v>361</v>
      </c>
      <c r="C363" t="s">
        <v>3</v>
      </c>
      <c r="D363" t="s">
        <v>3</v>
      </c>
      <c r="E363" t="s">
        <v>3</v>
      </c>
      <c r="F363" t="s">
        <v>3</v>
      </c>
      <c r="G363" t="s">
        <v>3</v>
      </c>
      <c r="J363" s="19"/>
      <c r="K363" s="5">
        <v>361</v>
      </c>
      <c r="L363" s="8">
        <f t="shared" si="113"/>
        <v>5</v>
      </c>
      <c r="M363" s="8">
        <f t="shared" si="114"/>
        <v>0</v>
      </c>
      <c r="N363" s="8">
        <f t="shared" si="115"/>
        <v>0</v>
      </c>
      <c r="O363" s="8">
        <f t="shared" si="116"/>
        <v>0</v>
      </c>
      <c r="P363" s="8">
        <f t="shared" si="117"/>
        <v>0</v>
      </c>
      <c r="Q363" s="8">
        <f t="shared" si="118"/>
        <v>0</v>
      </c>
      <c r="R363" s="8">
        <f t="shared" si="119"/>
        <v>0</v>
      </c>
      <c r="S363" s="8">
        <f t="shared" si="120"/>
        <v>0</v>
      </c>
      <c r="T363" s="8">
        <f t="shared" si="121"/>
        <v>0</v>
      </c>
      <c r="V363" s="8">
        <f t="shared" si="122"/>
        <v>5</v>
      </c>
      <c r="W363">
        <f t="shared" si="123"/>
        <v>1</v>
      </c>
      <c r="Y363" t="str">
        <f t="shared" si="124"/>
        <v>joy</v>
      </c>
    </row>
    <row r="364" spans="2:25" x14ac:dyDescent="0.25">
      <c r="B364" s="5">
        <v>362</v>
      </c>
      <c r="C364" t="s">
        <v>3</v>
      </c>
      <c r="D364" t="s">
        <v>8</v>
      </c>
      <c r="E364" t="s">
        <v>2</v>
      </c>
      <c r="F364" t="s">
        <v>8</v>
      </c>
      <c r="G364" t="s">
        <v>8</v>
      </c>
      <c r="J364" s="19">
        <v>1</v>
      </c>
      <c r="K364" s="5">
        <v>362</v>
      </c>
      <c r="L364" s="8">
        <f t="shared" si="113"/>
        <v>1</v>
      </c>
      <c r="M364" s="8">
        <f t="shared" si="114"/>
        <v>0</v>
      </c>
      <c r="N364" s="8">
        <f t="shared" si="115"/>
        <v>0</v>
      </c>
      <c r="O364" s="8">
        <f t="shared" si="116"/>
        <v>0</v>
      </c>
      <c r="P364" s="8">
        <f t="shared" si="117"/>
        <v>0</v>
      </c>
      <c r="Q364" s="8">
        <f t="shared" si="118"/>
        <v>0</v>
      </c>
      <c r="R364" s="8">
        <f t="shared" si="119"/>
        <v>0</v>
      </c>
      <c r="S364" s="8">
        <f t="shared" si="120"/>
        <v>3</v>
      </c>
      <c r="T364" s="8">
        <f t="shared" si="121"/>
        <v>1</v>
      </c>
      <c r="V364" s="8">
        <f t="shared" si="122"/>
        <v>3</v>
      </c>
      <c r="W364">
        <f t="shared" si="123"/>
        <v>1</v>
      </c>
      <c r="Y364" t="str">
        <f t="shared" si="124"/>
        <v>anticipation</v>
      </c>
    </row>
    <row r="365" spans="2:25" x14ac:dyDescent="0.25">
      <c r="B365" s="5">
        <v>363</v>
      </c>
      <c r="C365" t="s">
        <v>6</v>
      </c>
      <c r="D365" t="s">
        <v>2</v>
      </c>
      <c r="E365" t="s">
        <v>2</v>
      </c>
      <c r="F365" t="s">
        <v>2</v>
      </c>
      <c r="G365" t="s">
        <v>1</v>
      </c>
      <c r="J365" s="19">
        <v>1</v>
      </c>
      <c r="K365" s="5">
        <v>363</v>
      </c>
      <c r="L365" s="8">
        <f t="shared" si="113"/>
        <v>0</v>
      </c>
      <c r="M365" s="8">
        <f t="shared" si="114"/>
        <v>1</v>
      </c>
      <c r="N365" s="8">
        <f t="shared" si="115"/>
        <v>1</v>
      </c>
      <c r="O365" s="8">
        <f t="shared" si="116"/>
        <v>0</v>
      </c>
      <c r="P365" s="8">
        <f t="shared" si="117"/>
        <v>0</v>
      </c>
      <c r="Q365" s="8">
        <f t="shared" si="118"/>
        <v>0</v>
      </c>
      <c r="R365" s="8">
        <f t="shared" si="119"/>
        <v>0</v>
      </c>
      <c r="S365" s="8">
        <f t="shared" si="120"/>
        <v>0</v>
      </c>
      <c r="T365" s="8">
        <f t="shared" si="121"/>
        <v>3</v>
      </c>
      <c r="V365" s="8">
        <f t="shared" si="122"/>
        <v>3</v>
      </c>
      <c r="W365">
        <f t="shared" si="123"/>
        <v>1</v>
      </c>
      <c r="Y365" t="str">
        <f t="shared" si="124"/>
        <v>AMBIGUOUS</v>
      </c>
    </row>
    <row r="366" spans="2:25" x14ac:dyDescent="0.25">
      <c r="B366" s="5">
        <v>364</v>
      </c>
      <c r="C366" t="s">
        <v>0</v>
      </c>
      <c r="D366" t="s">
        <v>0</v>
      </c>
      <c r="E366" t="s">
        <v>5</v>
      </c>
      <c r="F366" t="s">
        <v>0</v>
      </c>
      <c r="G366" t="s">
        <v>0</v>
      </c>
      <c r="J366" s="19"/>
      <c r="K366" s="5">
        <v>364</v>
      </c>
      <c r="L366" s="8">
        <f t="shared" si="113"/>
        <v>0</v>
      </c>
      <c r="M366" s="8">
        <f t="shared" si="114"/>
        <v>0</v>
      </c>
      <c r="N366" s="8">
        <f t="shared" si="115"/>
        <v>0</v>
      </c>
      <c r="O366" s="8">
        <f t="shared" si="116"/>
        <v>0</v>
      </c>
      <c r="P366" s="8">
        <f t="shared" si="117"/>
        <v>1</v>
      </c>
      <c r="Q366" s="8">
        <f t="shared" si="118"/>
        <v>4</v>
      </c>
      <c r="R366" s="8">
        <f t="shared" si="119"/>
        <v>0</v>
      </c>
      <c r="S366" s="8">
        <f t="shared" si="120"/>
        <v>0</v>
      </c>
      <c r="T366" s="8">
        <f t="shared" si="121"/>
        <v>0</v>
      </c>
      <c r="V366" s="8">
        <f t="shared" si="122"/>
        <v>4</v>
      </c>
      <c r="W366">
        <f t="shared" si="123"/>
        <v>1</v>
      </c>
      <c r="Y366" t="str">
        <f t="shared" si="124"/>
        <v>disgust</v>
      </c>
    </row>
    <row r="367" spans="2:25" x14ac:dyDescent="0.25">
      <c r="B367" s="5">
        <v>365</v>
      </c>
      <c r="C367" t="s">
        <v>0</v>
      </c>
      <c r="D367" t="s">
        <v>5</v>
      </c>
      <c r="E367" t="s">
        <v>2</v>
      </c>
      <c r="F367" t="s">
        <v>5</v>
      </c>
      <c r="G367" t="s">
        <v>5</v>
      </c>
      <c r="J367" s="19">
        <v>1</v>
      </c>
      <c r="K367" s="5">
        <v>365</v>
      </c>
      <c r="L367" s="8">
        <f t="shared" si="113"/>
        <v>0</v>
      </c>
      <c r="M367" s="8">
        <f t="shared" si="114"/>
        <v>0</v>
      </c>
      <c r="N367" s="8">
        <f t="shared" si="115"/>
        <v>0</v>
      </c>
      <c r="O367" s="8">
        <f t="shared" si="116"/>
        <v>0</v>
      </c>
      <c r="P367" s="8">
        <f t="shared" si="117"/>
        <v>3</v>
      </c>
      <c r="Q367" s="8">
        <f t="shared" si="118"/>
        <v>1</v>
      </c>
      <c r="R367" s="8">
        <f t="shared" si="119"/>
        <v>0</v>
      </c>
      <c r="S367" s="8">
        <f t="shared" si="120"/>
        <v>0</v>
      </c>
      <c r="T367" s="8">
        <f t="shared" si="121"/>
        <v>1</v>
      </c>
      <c r="V367" s="8">
        <f t="shared" si="122"/>
        <v>3</v>
      </c>
      <c r="W367">
        <f t="shared" si="123"/>
        <v>1</v>
      </c>
      <c r="Y367" t="str">
        <f t="shared" si="124"/>
        <v>sadness</v>
      </c>
    </row>
    <row r="368" spans="2:25" x14ac:dyDescent="0.25">
      <c r="B368" s="5">
        <v>366</v>
      </c>
      <c r="C368" t="s">
        <v>3</v>
      </c>
      <c r="D368" t="s">
        <v>8</v>
      </c>
      <c r="E368" t="s">
        <v>2</v>
      </c>
      <c r="F368" t="s">
        <v>8</v>
      </c>
      <c r="G368" t="s">
        <v>8</v>
      </c>
      <c r="J368" s="19">
        <v>1</v>
      </c>
      <c r="K368" s="5">
        <v>366</v>
      </c>
      <c r="L368" s="8">
        <f t="shared" si="113"/>
        <v>1</v>
      </c>
      <c r="M368" s="8">
        <f t="shared" si="114"/>
        <v>0</v>
      </c>
      <c r="N368" s="8">
        <f t="shared" si="115"/>
        <v>0</v>
      </c>
      <c r="O368" s="8">
        <f t="shared" si="116"/>
        <v>0</v>
      </c>
      <c r="P368" s="8">
        <f t="shared" si="117"/>
        <v>0</v>
      </c>
      <c r="Q368" s="8">
        <f t="shared" si="118"/>
        <v>0</v>
      </c>
      <c r="R368" s="8">
        <f t="shared" si="119"/>
        <v>0</v>
      </c>
      <c r="S368" s="8">
        <f t="shared" si="120"/>
        <v>3</v>
      </c>
      <c r="T368" s="8">
        <f t="shared" si="121"/>
        <v>1</v>
      </c>
      <c r="V368" s="8">
        <f t="shared" si="122"/>
        <v>3</v>
      </c>
      <c r="W368">
        <f t="shared" si="123"/>
        <v>1</v>
      </c>
      <c r="Y368" t="str">
        <f t="shared" si="124"/>
        <v>anticipation</v>
      </c>
    </row>
    <row r="369" spans="2:25" x14ac:dyDescent="0.25">
      <c r="B369" s="5">
        <v>367</v>
      </c>
      <c r="C369" t="s">
        <v>3</v>
      </c>
      <c r="D369" t="s">
        <v>3</v>
      </c>
      <c r="E369" t="s">
        <v>3</v>
      </c>
      <c r="F369" t="s">
        <v>3</v>
      </c>
      <c r="G369" t="s">
        <v>5</v>
      </c>
      <c r="J369" s="19"/>
      <c r="K369" s="5">
        <v>367</v>
      </c>
      <c r="L369" s="8">
        <f t="shared" si="113"/>
        <v>4</v>
      </c>
      <c r="M369" s="8">
        <f t="shared" si="114"/>
        <v>0</v>
      </c>
      <c r="N369" s="8">
        <f t="shared" si="115"/>
        <v>0</v>
      </c>
      <c r="O369" s="8">
        <f t="shared" si="116"/>
        <v>0</v>
      </c>
      <c r="P369" s="8">
        <f t="shared" si="117"/>
        <v>1</v>
      </c>
      <c r="Q369" s="8">
        <f t="shared" si="118"/>
        <v>0</v>
      </c>
      <c r="R369" s="8">
        <f t="shared" si="119"/>
        <v>0</v>
      </c>
      <c r="S369" s="8">
        <f t="shared" si="120"/>
        <v>0</v>
      </c>
      <c r="T369" s="8">
        <f t="shared" si="121"/>
        <v>0</v>
      </c>
      <c r="V369" s="8">
        <f t="shared" si="122"/>
        <v>4</v>
      </c>
      <c r="W369">
        <f t="shared" si="123"/>
        <v>1</v>
      </c>
      <c r="Y369" t="str">
        <f t="shared" si="124"/>
        <v>joy</v>
      </c>
    </row>
    <row r="370" spans="2:25" x14ac:dyDescent="0.25">
      <c r="B370" s="5">
        <v>368</v>
      </c>
      <c r="C370" t="s">
        <v>3</v>
      </c>
      <c r="D370" t="s">
        <v>3</v>
      </c>
      <c r="E370" t="s">
        <v>3</v>
      </c>
      <c r="F370" t="s">
        <v>3</v>
      </c>
      <c r="G370" t="s">
        <v>8</v>
      </c>
      <c r="J370" s="19"/>
      <c r="K370" s="5">
        <v>368</v>
      </c>
      <c r="L370" s="8">
        <f t="shared" si="113"/>
        <v>4</v>
      </c>
      <c r="M370" s="8">
        <f t="shared" si="114"/>
        <v>0</v>
      </c>
      <c r="N370" s="8">
        <f t="shared" si="115"/>
        <v>0</v>
      </c>
      <c r="O370" s="8">
        <f t="shared" si="116"/>
        <v>0</v>
      </c>
      <c r="P370" s="8">
        <f t="shared" si="117"/>
        <v>0</v>
      </c>
      <c r="Q370" s="8">
        <f t="shared" si="118"/>
        <v>0</v>
      </c>
      <c r="R370" s="8">
        <f t="shared" si="119"/>
        <v>0</v>
      </c>
      <c r="S370" s="8">
        <f t="shared" si="120"/>
        <v>1</v>
      </c>
      <c r="T370" s="8">
        <f t="shared" si="121"/>
        <v>0</v>
      </c>
      <c r="V370" s="8">
        <f t="shared" si="122"/>
        <v>4</v>
      </c>
      <c r="W370">
        <f t="shared" si="123"/>
        <v>1</v>
      </c>
      <c r="Y370" t="str">
        <f t="shared" si="124"/>
        <v>joy</v>
      </c>
    </row>
    <row r="371" spans="2:25" x14ac:dyDescent="0.25">
      <c r="B371" s="5">
        <v>369</v>
      </c>
      <c r="C371" t="s">
        <v>0</v>
      </c>
      <c r="D371" t="s">
        <v>1</v>
      </c>
      <c r="E371" t="s">
        <v>1</v>
      </c>
      <c r="F371" t="s">
        <v>1</v>
      </c>
      <c r="G371" t="s">
        <v>1</v>
      </c>
      <c r="J371" s="19"/>
      <c r="K371" s="5">
        <v>369</v>
      </c>
      <c r="L371" s="8">
        <f t="shared" si="113"/>
        <v>0</v>
      </c>
      <c r="M371" s="8">
        <f t="shared" si="114"/>
        <v>4</v>
      </c>
      <c r="N371" s="8">
        <f t="shared" si="115"/>
        <v>0</v>
      </c>
      <c r="O371" s="8">
        <f t="shared" si="116"/>
        <v>0</v>
      </c>
      <c r="P371" s="8">
        <f t="shared" si="117"/>
        <v>0</v>
      </c>
      <c r="Q371" s="8">
        <f t="shared" si="118"/>
        <v>1</v>
      </c>
      <c r="R371" s="8">
        <f t="shared" si="119"/>
        <v>0</v>
      </c>
      <c r="S371" s="8">
        <f t="shared" si="120"/>
        <v>0</v>
      </c>
      <c r="T371" s="8">
        <f t="shared" si="121"/>
        <v>0</v>
      </c>
      <c r="V371" s="8">
        <f t="shared" si="122"/>
        <v>4</v>
      </c>
      <c r="W371">
        <f t="shared" si="123"/>
        <v>1</v>
      </c>
      <c r="Y371" t="str">
        <f t="shared" si="124"/>
        <v>trust</v>
      </c>
    </row>
    <row r="372" spans="2:25" x14ac:dyDescent="0.25">
      <c r="B372" s="5">
        <v>370</v>
      </c>
      <c r="C372" t="s">
        <v>3</v>
      </c>
      <c r="D372" t="s">
        <v>8</v>
      </c>
      <c r="E372" t="s">
        <v>2</v>
      </c>
      <c r="F372" t="s">
        <v>8</v>
      </c>
      <c r="G372" t="s">
        <v>8</v>
      </c>
      <c r="J372" s="19">
        <v>1</v>
      </c>
      <c r="K372" s="5">
        <v>370</v>
      </c>
      <c r="L372" s="8">
        <f t="shared" si="113"/>
        <v>1</v>
      </c>
      <c r="M372" s="8">
        <f t="shared" si="114"/>
        <v>0</v>
      </c>
      <c r="N372" s="8">
        <f t="shared" si="115"/>
        <v>0</v>
      </c>
      <c r="O372" s="8">
        <f t="shared" si="116"/>
        <v>0</v>
      </c>
      <c r="P372" s="8">
        <f t="shared" si="117"/>
        <v>0</v>
      </c>
      <c r="Q372" s="8">
        <f t="shared" si="118"/>
        <v>0</v>
      </c>
      <c r="R372" s="8">
        <f t="shared" si="119"/>
        <v>0</v>
      </c>
      <c r="S372" s="8">
        <f t="shared" si="120"/>
        <v>3</v>
      </c>
      <c r="T372" s="8">
        <f t="shared" si="121"/>
        <v>1</v>
      </c>
      <c r="V372" s="8">
        <f t="shared" si="122"/>
        <v>3</v>
      </c>
      <c r="W372">
        <f t="shared" si="123"/>
        <v>1</v>
      </c>
      <c r="Y372" t="str">
        <f t="shared" si="124"/>
        <v>anticipation</v>
      </c>
    </row>
    <row r="373" spans="2:25" x14ac:dyDescent="0.25">
      <c r="B373" s="5">
        <v>371</v>
      </c>
      <c r="C373" t="s">
        <v>6</v>
      </c>
      <c r="D373" t="s">
        <v>8</v>
      </c>
      <c r="E373" t="s">
        <v>2</v>
      </c>
      <c r="F373" t="s">
        <v>8</v>
      </c>
      <c r="G373" t="s">
        <v>8</v>
      </c>
      <c r="J373" s="19">
        <v>1</v>
      </c>
      <c r="K373" s="5">
        <v>371</v>
      </c>
      <c r="L373" s="8">
        <f t="shared" si="113"/>
        <v>0</v>
      </c>
      <c r="M373" s="8">
        <f t="shared" si="114"/>
        <v>0</v>
      </c>
      <c r="N373" s="8">
        <f t="shared" si="115"/>
        <v>1</v>
      </c>
      <c r="O373" s="8">
        <f t="shared" si="116"/>
        <v>0</v>
      </c>
      <c r="P373" s="8">
        <f t="shared" si="117"/>
        <v>0</v>
      </c>
      <c r="Q373" s="8">
        <f t="shared" si="118"/>
        <v>0</v>
      </c>
      <c r="R373" s="8">
        <f t="shared" si="119"/>
        <v>0</v>
      </c>
      <c r="S373" s="8">
        <f t="shared" si="120"/>
        <v>3</v>
      </c>
      <c r="T373" s="8">
        <f t="shared" si="121"/>
        <v>1</v>
      </c>
      <c r="V373" s="8">
        <f t="shared" si="122"/>
        <v>3</v>
      </c>
      <c r="W373">
        <f t="shared" si="123"/>
        <v>1</v>
      </c>
      <c r="Y373" t="str">
        <f t="shared" si="124"/>
        <v>anticipation</v>
      </c>
    </row>
    <row r="374" spans="2:25" x14ac:dyDescent="0.25">
      <c r="B374" s="5">
        <v>372</v>
      </c>
      <c r="C374" t="s">
        <v>3</v>
      </c>
      <c r="D374" t="s">
        <v>3</v>
      </c>
      <c r="E374" t="s">
        <v>2</v>
      </c>
      <c r="F374" t="s">
        <v>3</v>
      </c>
      <c r="G374" t="s">
        <v>1</v>
      </c>
      <c r="J374" s="19">
        <v>1</v>
      </c>
      <c r="K374" s="5">
        <v>372</v>
      </c>
      <c r="L374" s="8">
        <f t="shared" si="113"/>
        <v>3</v>
      </c>
      <c r="M374" s="8">
        <f t="shared" si="114"/>
        <v>1</v>
      </c>
      <c r="N374" s="8">
        <f t="shared" si="115"/>
        <v>0</v>
      </c>
      <c r="O374" s="8">
        <f t="shared" si="116"/>
        <v>0</v>
      </c>
      <c r="P374" s="8">
        <f t="shared" si="117"/>
        <v>0</v>
      </c>
      <c r="Q374" s="8">
        <f t="shared" si="118"/>
        <v>0</v>
      </c>
      <c r="R374" s="8">
        <f t="shared" si="119"/>
        <v>0</v>
      </c>
      <c r="S374" s="8">
        <f t="shared" si="120"/>
        <v>0</v>
      </c>
      <c r="T374" s="8">
        <f t="shared" si="121"/>
        <v>1</v>
      </c>
      <c r="V374" s="8">
        <f t="shared" si="122"/>
        <v>3</v>
      </c>
      <c r="W374">
        <f t="shared" si="123"/>
        <v>1</v>
      </c>
      <c r="Y374" t="str">
        <f t="shared" si="124"/>
        <v>joy</v>
      </c>
    </row>
    <row r="375" spans="2:25" x14ac:dyDescent="0.25">
      <c r="B375" s="5">
        <v>373</v>
      </c>
      <c r="C375" t="s">
        <v>3</v>
      </c>
      <c r="D375" t="s">
        <v>2</v>
      </c>
      <c r="E375" t="s">
        <v>2</v>
      </c>
      <c r="F375" t="s">
        <v>2</v>
      </c>
      <c r="G375" t="s">
        <v>1</v>
      </c>
      <c r="J375" s="19">
        <v>1</v>
      </c>
      <c r="K375" s="5">
        <v>373</v>
      </c>
      <c r="L375" s="8">
        <f t="shared" si="113"/>
        <v>1</v>
      </c>
      <c r="M375" s="8">
        <f t="shared" si="114"/>
        <v>1</v>
      </c>
      <c r="N375" s="8">
        <f t="shared" si="115"/>
        <v>0</v>
      </c>
      <c r="O375" s="8">
        <f t="shared" si="116"/>
        <v>0</v>
      </c>
      <c r="P375" s="8">
        <f t="shared" si="117"/>
        <v>0</v>
      </c>
      <c r="Q375" s="8">
        <f t="shared" si="118"/>
        <v>0</v>
      </c>
      <c r="R375" s="8">
        <f t="shared" si="119"/>
        <v>0</v>
      </c>
      <c r="S375" s="8">
        <f t="shared" si="120"/>
        <v>0</v>
      </c>
      <c r="T375" s="8">
        <f t="shared" si="121"/>
        <v>3</v>
      </c>
      <c r="V375" s="8">
        <f t="shared" si="122"/>
        <v>3</v>
      </c>
      <c r="W375">
        <f t="shared" si="123"/>
        <v>1</v>
      </c>
      <c r="Y375" t="str">
        <f t="shared" si="124"/>
        <v>AMBIGUOUS</v>
      </c>
    </row>
    <row r="376" spans="2:25" x14ac:dyDescent="0.25">
      <c r="B376" s="5">
        <v>374</v>
      </c>
      <c r="C376" t="s">
        <v>3</v>
      </c>
      <c r="D376" t="s">
        <v>2</v>
      </c>
      <c r="E376" t="s">
        <v>2</v>
      </c>
      <c r="F376" t="s">
        <v>2</v>
      </c>
      <c r="G376" t="s">
        <v>8</v>
      </c>
      <c r="J376" s="19">
        <v>1</v>
      </c>
      <c r="K376" s="5">
        <v>374</v>
      </c>
      <c r="L376" s="8">
        <f t="shared" si="113"/>
        <v>1</v>
      </c>
      <c r="M376" s="8">
        <f t="shared" si="114"/>
        <v>0</v>
      </c>
      <c r="N376" s="8">
        <f t="shared" si="115"/>
        <v>0</v>
      </c>
      <c r="O376" s="8">
        <f t="shared" si="116"/>
        <v>0</v>
      </c>
      <c r="P376" s="8">
        <f t="shared" si="117"/>
        <v>0</v>
      </c>
      <c r="Q376" s="8">
        <f t="shared" si="118"/>
        <v>0</v>
      </c>
      <c r="R376" s="8">
        <f t="shared" si="119"/>
        <v>0</v>
      </c>
      <c r="S376" s="8">
        <f t="shared" si="120"/>
        <v>1</v>
      </c>
      <c r="T376" s="8">
        <f t="shared" si="121"/>
        <v>3</v>
      </c>
      <c r="V376" s="8">
        <f t="shared" si="122"/>
        <v>3</v>
      </c>
      <c r="W376">
        <f t="shared" si="123"/>
        <v>1</v>
      </c>
      <c r="Y376" t="str">
        <f t="shared" si="124"/>
        <v>AMBIGUOUS</v>
      </c>
    </row>
    <row r="377" spans="2:25" x14ac:dyDescent="0.25">
      <c r="B377" s="5">
        <v>375</v>
      </c>
      <c r="C377" t="s">
        <v>0</v>
      </c>
      <c r="D377" t="s">
        <v>2</v>
      </c>
      <c r="E377" t="s">
        <v>2</v>
      </c>
      <c r="F377" t="s">
        <v>2</v>
      </c>
      <c r="G377" t="s">
        <v>8</v>
      </c>
      <c r="J377" s="19">
        <v>1</v>
      </c>
      <c r="K377" s="5">
        <v>375</v>
      </c>
      <c r="L377" s="8">
        <f t="shared" ref="L377:L440" si="125">COUNTIFS(C377:G377, "joy")</f>
        <v>0</v>
      </c>
      <c r="M377" s="8">
        <f t="shared" ref="M377:M440" si="126">COUNTIFS(C377:G377, "trust")</f>
        <v>0</v>
      </c>
      <c r="N377" s="8">
        <f t="shared" ref="N377:N440" si="127">COUNTIFS(C377:G377, "fear")</f>
        <v>0</v>
      </c>
      <c r="O377" s="8">
        <f t="shared" ref="O377:O440" si="128">COUNTIFS(C377:G377, "surprise")</f>
        <v>0</v>
      </c>
      <c r="P377" s="8">
        <f t="shared" ref="P377:P440" si="129">COUNTIFS(C377:G377, "sadness")</f>
        <v>0</v>
      </c>
      <c r="Q377" s="8">
        <f t="shared" ref="Q377:Q440" si="130">COUNTIFS(C377:G377, "disgust")</f>
        <v>1</v>
      </c>
      <c r="R377" s="8">
        <f t="shared" ref="R377:R440" si="131">COUNTIFS(C377:G377, "anger")</f>
        <v>0</v>
      </c>
      <c r="S377" s="8">
        <f t="shared" ref="S377:S440" si="132">COUNTIFS(C377:G377, "anticipation")</f>
        <v>1</v>
      </c>
      <c r="T377" s="8">
        <f t="shared" ref="T377:T440" si="133">COUNTIFS(C377:G377, "AMBIGUOUS")</f>
        <v>3</v>
      </c>
      <c r="V377" s="8">
        <f t="shared" si="122"/>
        <v>3</v>
      </c>
      <c r="W377">
        <f t="shared" si="123"/>
        <v>1</v>
      </c>
      <c r="Y377" t="str">
        <f t="shared" si="124"/>
        <v>AMBIGUOUS</v>
      </c>
    </row>
    <row r="378" spans="2:25" x14ac:dyDescent="0.25">
      <c r="B378" s="5">
        <v>376</v>
      </c>
      <c r="C378" t="s">
        <v>1</v>
      </c>
      <c r="D378" t="s">
        <v>2</v>
      </c>
      <c r="E378" t="s">
        <v>2</v>
      </c>
      <c r="F378" t="s">
        <v>2</v>
      </c>
      <c r="G378" t="s">
        <v>8</v>
      </c>
      <c r="J378" s="19">
        <v>1</v>
      </c>
      <c r="K378" s="5">
        <v>376</v>
      </c>
      <c r="L378" s="8">
        <f t="shared" si="125"/>
        <v>0</v>
      </c>
      <c r="M378" s="8">
        <f t="shared" si="126"/>
        <v>1</v>
      </c>
      <c r="N378" s="8">
        <f t="shared" si="127"/>
        <v>0</v>
      </c>
      <c r="O378" s="8">
        <f t="shared" si="128"/>
        <v>0</v>
      </c>
      <c r="P378" s="8">
        <f t="shared" si="129"/>
        <v>0</v>
      </c>
      <c r="Q378" s="8">
        <f t="shared" si="130"/>
        <v>0</v>
      </c>
      <c r="R378" s="8">
        <f t="shared" si="131"/>
        <v>0</v>
      </c>
      <c r="S378" s="8">
        <f t="shared" si="132"/>
        <v>1</v>
      </c>
      <c r="T378" s="8">
        <f t="shared" si="133"/>
        <v>3</v>
      </c>
      <c r="V378" s="8">
        <f t="shared" si="122"/>
        <v>3</v>
      </c>
      <c r="W378">
        <f t="shared" si="123"/>
        <v>1</v>
      </c>
      <c r="Y378" t="str">
        <f t="shared" si="124"/>
        <v>AMBIGUOUS</v>
      </c>
    </row>
    <row r="379" spans="2:25" x14ac:dyDescent="0.25">
      <c r="B379" s="5">
        <v>377</v>
      </c>
      <c r="C379" t="s">
        <v>6</v>
      </c>
      <c r="D379" t="s">
        <v>6</v>
      </c>
      <c r="E379" t="s">
        <v>2</v>
      </c>
      <c r="F379" t="s">
        <v>6</v>
      </c>
      <c r="G379" t="s">
        <v>1</v>
      </c>
      <c r="J379" s="19">
        <v>1</v>
      </c>
      <c r="K379" s="5">
        <v>377</v>
      </c>
      <c r="L379" s="8">
        <f t="shared" si="125"/>
        <v>0</v>
      </c>
      <c r="M379" s="8">
        <f t="shared" si="126"/>
        <v>1</v>
      </c>
      <c r="N379" s="8">
        <f t="shared" si="127"/>
        <v>3</v>
      </c>
      <c r="O379" s="8">
        <f t="shared" si="128"/>
        <v>0</v>
      </c>
      <c r="P379" s="8">
        <f t="shared" si="129"/>
        <v>0</v>
      </c>
      <c r="Q379" s="8">
        <f t="shared" si="130"/>
        <v>0</v>
      </c>
      <c r="R379" s="8">
        <f t="shared" si="131"/>
        <v>0</v>
      </c>
      <c r="S379" s="8">
        <f t="shared" si="132"/>
        <v>0</v>
      </c>
      <c r="T379" s="8">
        <f t="shared" si="133"/>
        <v>1</v>
      </c>
      <c r="V379" s="8">
        <f t="shared" si="122"/>
        <v>3</v>
      </c>
      <c r="W379">
        <f t="shared" si="123"/>
        <v>1</v>
      </c>
      <c r="Y379" t="str">
        <f t="shared" si="124"/>
        <v>fear</v>
      </c>
    </row>
    <row r="380" spans="2:25" x14ac:dyDescent="0.25">
      <c r="B380" s="5">
        <v>378</v>
      </c>
      <c r="C380" t="s">
        <v>0</v>
      </c>
      <c r="D380" t="s">
        <v>5</v>
      </c>
      <c r="E380" t="s">
        <v>5</v>
      </c>
      <c r="F380" t="s">
        <v>5</v>
      </c>
      <c r="G380" t="s">
        <v>7</v>
      </c>
      <c r="J380" s="19">
        <v>1</v>
      </c>
      <c r="K380" s="5">
        <v>378</v>
      </c>
      <c r="L380" s="8">
        <f t="shared" si="125"/>
        <v>0</v>
      </c>
      <c r="M380" s="8">
        <f t="shared" si="126"/>
        <v>0</v>
      </c>
      <c r="N380" s="8">
        <f t="shared" si="127"/>
        <v>0</v>
      </c>
      <c r="O380" s="8">
        <f t="shared" si="128"/>
        <v>1</v>
      </c>
      <c r="P380" s="8">
        <f t="shared" si="129"/>
        <v>3</v>
      </c>
      <c r="Q380" s="8">
        <f t="shared" si="130"/>
        <v>1</v>
      </c>
      <c r="R380" s="8">
        <f t="shared" si="131"/>
        <v>0</v>
      </c>
      <c r="S380" s="8">
        <f t="shared" si="132"/>
        <v>0</v>
      </c>
      <c r="T380" s="8">
        <f t="shared" si="133"/>
        <v>0</v>
      </c>
      <c r="V380" s="8">
        <f t="shared" si="122"/>
        <v>3</v>
      </c>
      <c r="W380">
        <f t="shared" si="123"/>
        <v>1</v>
      </c>
      <c r="Y380" t="str">
        <f t="shared" si="124"/>
        <v>sadness</v>
      </c>
    </row>
    <row r="381" spans="2:25" x14ac:dyDescent="0.25">
      <c r="B381" s="5">
        <v>379</v>
      </c>
      <c r="C381" t="s">
        <v>3</v>
      </c>
      <c r="D381" t="s">
        <v>3</v>
      </c>
      <c r="E381" t="s">
        <v>2</v>
      </c>
      <c r="F381" t="s">
        <v>3</v>
      </c>
      <c r="G381" t="s">
        <v>7</v>
      </c>
      <c r="J381" s="19">
        <v>1</v>
      </c>
      <c r="K381" s="5">
        <v>379</v>
      </c>
      <c r="L381" s="8">
        <f t="shared" si="125"/>
        <v>3</v>
      </c>
      <c r="M381" s="8">
        <f t="shared" si="126"/>
        <v>0</v>
      </c>
      <c r="N381" s="8">
        <f t="shared" si="127"/>
        <v>0</v>
      </c>
      <c r="O381" s="8">
        <f t="shared" si="128"/>
        <v>1</v>
      </c>
      <c r="P381" s="8">
        <f t="shared" si="129"/>
        <v>0</v>
      </c>
      <c r="Q381" s="8">
        <f t="shared" si="130"/>
        <v>0</v>
      </c>
      <c r="R381" s="8">
        <f t="shared" si="131"/>
        <v>0</v>
      </c>
      <c r="S381" s="8">
        <f t="shared" si="132"/>
        <v>0</v>
      </c>
      <c r="T381" s="8">
        <f t="shared" si="133"/>
        <v>1</v>
      </c>
      <c r="V381" s="8">
        <f t="shared" si="122"/>
        <v>3</v>
      </c>
      <c r="W381">
        <f t="shared" si="123"/>
        <v>1</v>
      </c>
      <c r="Y381" t="str">
        <f t="shared" si="124"/>
        <v>joy</v>
      </c>
    </row>
    <row r="382" spans="2:25" x14ac:dyDescent="0.25">
      <c r="B382" s="5">
        <v>380</v>
      </c>
      <c r="C382" t="s">
        <v>0</v>
      </c>
      <c r="D382" t="s">
        <v>2</v>
      </c>
      <c r="E382" t="s">
        <v>2</v>
      </c>
      <c r="F382" t="s">
        <v>2</v>
      </c>
      <c r="G382" t="s">
        <v>7</v>
      </c>
      <c r="J382" s="19">
        <v>1</v>
      </c>
      <c r="K382" s="5">
        <v>380</v>
      </c>
      <c r="L382" s="8">
        <f t="shared" si="125"/>
        <v>0</v>
      </c>
      <c r="M382" s="8">
        <f t="shared" si="126"/>
        <v>0</v>
      </c>
      <c r="N382" s="8">
        <f t="shared" si="127"/>
        <v>0</v>
      </c>
      <c r="O382" s="8">
        <f t="shared" si="128"/>
        <v>1</v>
      </c>
      <c r="P382" s="8">
        <f t="shared" si="129"/>
        <v>0</v>
      </c>
      <c r="Q382" s="8">
        <f t="shared" si="130"/>
        <v>1</v>
      </c>
      <c r="R382" s="8">
        <f t="shared" si="131"/>
        <v>0</v>
      </c>
      <c r="S382" s="8">
        <f t="shared" si="132"/>
        <v>0</v>
      </c>
      <c r="T382" s="8">
        <f t="shared" si="133"/>
        <v>3</v>
      </c>
      <c r="V382" s="8">
        <f t="shared" si="122"/>
        <v>3</v>
      </c>
      <c r="W382">
        <f t="shared" si="123"/>
        <v>1</v>
      </c>
      <c r="Y382" t="str">
        <f t="shared" si="124"/>
        <v>AMBIGUOUS</v>
      </c>
    </row>
    <row r="383" spans="2:25" x14ac:dyDescent="0.25">
      <c r="B383" s="5">
        <v>381</v>
      </c>
      <c r="C383" t="s">
        <v>3</v>
      </c>
      <c r="D383" t="s">
        <v>2</v>
      </c>
      <c r="E383" t="s">
        <v>2</v>
      </c>
      <c r="F383" t="s">
        <v>2</v>
      </c>
      <c r="G383" t="s">
        <v>7</v>
      </c>
      <c r="J383" s="19">
        <v>1</v>
      </c>
      <c r="K383" s="5">
        <v>381</v>
      </c>
      <c r="L383" s="8">
        <f t="shared" si="125"/>
        <v>1</v>
      </c>
      <c r="M383" s="8">
        <f t="shared" si="126"/>
        <v>0</v>
      </c>
      <c r="N383" s="8">
        <f t="shared" si="127"/>
        <v>0</v>
      </c>
      <c r="O383" s="8">
        <f t="shared" si="128"/>
        <v>1</v>
      </c>
      <c r="P383" s="8">
        <f t="shared" si="129"/>
        <v>0</v>
      </c>
      <c r="Q383" s="8">
        <f t="shared" si="130"/>
        <v>0</v>
      </c>
      <c r="R383" s="8">
        <f t="shared" si="131"/>
        <v>0</v>
      </c>
      <c r="S383" s="8">
        <f t="shared" si="132"/>
        <v>0</v>
      </c>
      <c r="T383" s="8">
        <f t="shared" si="133"/>
        <v>3</v>
      </c>
      <c r="V383" s="8">
        <f t="shared" si="122"/>
        <v>3</v>
      </c>
      <c r="W383">
        <f t="shared" si="123"/>
        <v>1</v>
      </c>
      <c r="Y383" t="str">
        <f t="shared" si="124"/>
        <v>AMBIGUOUS</v>
      </c>
    </row>
    <row r="384" spans="2:25" x14ac:dyDescent="0.25">
      <c r="B384" s="5">
        <v>382</v>
      </c>
      <c r="C384" t="s">
        <v>6</v>
      </c>
      <c r="D384" t="s">
        <v>2</v>
      </c>
      <c r="E384" t="s">
        <v>2</v>
      </c>
      <c r="F384" t="s">
        <v>2</v>
      </c>
      <c r="G384" t="s">
        <v>7</v>
      </c>
      <c r="J384" s="19">
        <v>1</v>
      </c>
      <c r="K384" s="5">
        <v>382</v>
      </c>
      <c r="L384" s="8">
        <f t="shared" si="125"/>
        <v>0</v>
      </c>
      <c r="M384" s="8">
        <f t="shared" si="126"/>
        <v>0</v>
      </c>
      <c r="N384" s="8">
        <f t="shared" si="127"/>
        <v>1</v>
      </c>
      <c r="O384" s="8">
        <f t="shared" si="128"/>
        <v>1</v>
      </c>
      <c r="P384" s="8">
        <f t="shared" si="129"/>
        <v>0</v>
      </c>
      <c r="Q384" s="8">
        <f t="shared" si="130"/>
        <v>0</v>
      </c>
      <c r="R384" s="8">
        <f t="shared" si="131"/>
        <v>0</v>
      </c>
      <c r="S384" s="8">
        <f t="shared" si="132"/>
        <v>0</v>
      </c>
      <c r="T384" s="8">
        <f t="shared" si="133"/>
        <v>3</v>
      </c>
      <c r="V384" s="8">
        <f t="shared" si="122"/>
        <v>3</v>
      </c>
      <c r="W384">
        <f t="shared" si="123"/>
        <v>1</v>
      </c>
      <c r="Y384" t="str">
        <f t="shared" si="124"/>
        <v>AMBIGUOUS</v>
      </c>
    </row>
    <row r="385" spans="2:25" x14ac:dyDescent="0.25">
      <c r="B385" s="5">
        <v>383</v>
      </c>
      <c r="C385" t="s">
        <v>3</v>
      </c>
      <c r="D385" t="s">
        <v>3</v>
      </c>
      <c r="E385" t="s">
        <v>2</v>
      </c>
      <c r="F385" t="s">
        <v>3</v>
      </c>
      <c r="G385" t="s">
        <v>7</v>
      </c>
      <c r="J385" s="19">
        <v>1</v>
      </c>
      <c r="K385" s="5">
        <v>383</v>
      </c>
      <c r="L385" s="8">
        <f t="shared" si="125"/>
        <v>3</v>
      </c>
      <c r="M385" s="8">
        <f t="shared" si="126"/>
        <v>0</v>
      </c>
      <c r="N385" s="8">
        <f t="shared" si="127"/>
        <v>0</v>
      </c>
      <c r="O385" s="8">
        <f t="shared" si="128"/>
        <v>1</v>
      </c>
      <c r="P385" s="8">
        <f t="shared" si="129"/>
        <v>0</v>
      </c>
      <c r="Q385" s="8">
        <f t="shared" si="130"/>
        <v>0</v>
      </c>
      <c r="R385" s="8">
        <f t="shared" si="131"/>
        <v>0</v>
      </c>
      <c r="S385" s="8">
        <f t="shared" si="132"/>
        <v>0</v>
      </c>
      <c r="T385" s="8">
        <f t="shared" si="133"/>
        <v>1</v>
      </c>
      <c r="V385" s="8">
        <f t="shared" si="122"/>
        <v>3</v>
      </c>
      <c r="W385">
        <f t="shared" si="123"/>
        <v>1</v>
      </c>
      <c r="Y385" t="str">
        <f t="shared" si="124"/>
        <v>joy</v>
      </c>
    </row>
    <row r="386" spans="2:25" x14ac:dyDescent="0.25">
      <c r="B386" s="5">
        <v>384</v>
      </c>
      <c r="C386" t="s">
        <v>6</v>
      </c>
      <c r="D386" t="s">
        <v>5</v>
      </c>
      <c r="E386" t="s">
        <v>5</v>
      </c>
      <c r="F386" t="s">
        <v>5</v>
      </c>
      <c r="G386" t="s">
        <v>7</v>
      </c>
      <c r="J386" s="19">
        <v>1</v>
      </c>
      <c r="K386" s="5">
        <v>384</v>
      </c>
      <c r="L386" s="8">
        <f t="shared" si="125"/>
        <v>0</v>
      </c>
      <c r="M386" s="8">
        <f t="shared" si="126"/>
        <v>0</v>
      </c>
      <c r="N386" s="8">
        <f t="shared" si="127"/>
        <v>1</v>
      </c>
      <c r="O386" s="8">
        <f t="shared" si="128"/>
        <v>1</v>
      </c>
      <c r="P386" s="8">
        <f t="shared" si="129"/>
        <v>3</v>
      </c>
      <c r="Q386" s="8">
        <f t="shared" si="130"/>
        <v>0</v>
      </c>
      <c r="R386" s="8">
        <f t="shared" si="131"/>
        <v>0</v>
      </c>
      <c r="S386" s="8">
        <f t="shared" si="132"/>
        <v>0</v>
      </c>
      <c r="T386" s="8">
        <f t="shared" si="133"/>
        <v>0</v>
      </c>
      <c r="V386" s="8">
        <f t="shared" si="122"/>
        <v>3</v>
      </c>
      <c r="W386">
        <f t="shared" si="123"/>
        <v>1</v>
      </c>
      <c r="Y386" t="str">
        <f t="shared" si="124"/>
        <v>sadness</v>
      </c>
    </row>
    <row r="387" spans="2:25" x14ac:dyDescent="0.25">
      <c r="B387" s="5">
        <v>385</v>
      </c>
      <c r="C387" t="s">
        <v>3</v>
      </c>
      <c r="D387" t="s">
        <v>5</v>
      </c>
      <c r="E387" t="s">
        <v>5</v>
      </c>
      <c r="F387" t="s">
        <v>5</v>
      </c>
      <c r="G387" t="s">
        <v>7</v>
      </c>
      <c r="J387" s="19">
        <v>1</v>
      </c>
      <c r="K387" s="5">
        <v>385</v>
      </c>
      <c r="L387" s="8">
        <f t="shared" si="125"/>
        <v>1</v>
      </c>
      <c r="M387" s="8">
        <f t="shared" si="126"/>
        <v>0</v>
      </c>
      <c r="N387" s="8">
        <f t="shared" si="127"/>
        <v>0</v>
      </c>
      <c r="O387" s="8">
        <f t="shared" si="128"/>
        <v>1</v>
      </c>
      <c r="P387" s="8">
        <f t="shared" si="129"/>
        <v>3</v>
      </c>
      <c r="Q387" s="8">
        <f t="shared" si="130"/>
        <v>0</v>
      </c>
      <c r="R387" s="8">
        <f t="shared" si="131"/>
        <v>0</v>
      </c>
      <c r="S387" s="8">
        <f t="shared" si="132"/>
        <v>0</v>
      </c>
      <c r="T387" s="8">
        <f t="shared" si="133"/>
        <v>0</v>
      </c>
      <c r="V387" s="8">
        <f t="shared" si="122"/>
        <v>3</v>
      </c>
      <c r="W387">
        <f t="shared" si="123"/>
        <v>1</v>
      </c>
      <c r="Y387" t="str">
        <f t="shared" si="124"/>
        <v>sadness</v>
      </c>
    </row>
    <row r="388" spans="2:25" x14ac:dyDescent="0.25">
      <c r="B388" s="5">
        <v>386</v>
      </c>
      <c r="C388" t="s">
        <v>3</v>
      </c>
      <c r="D388" t="s">
        <v>3</v>
      </c>
      <c r="E388" t="s">
        <v>2</v>
      </c>
      <c r="F388" t="s">
        <v>3</v>
      </c>
      <c r="G388" t="s">
        <v>7</v>
      </c>
      <c r="J388" s="19">
        <v>1</v>
      </c>
      <c r="K388" s="5">
        <v>386</v>
      </c>
      <c r="L388" s="8">
        <f t="shared" si="125"/>
        <v>3</v>
      </c>
      <c r="M388" s="8">
        <f t="shared" si="126"/>
        <v>0</v>
      </c>
      <c r="N388" s="8">
        <f t="shared" si="127"/>
        <v>0</v>
      </c>
      <c r="O388" s="8">
        <f t="shared" si="128"/>
        <v>1</v>
      </c>
      <c r="P388" s="8">
        <f t="shared" si="129"/>
        <v>0</v>
      </c>
      <c r="Q388" s="8">
        <f t="shared" si="130"/>
        <v>0</v>
      </c>
      <c r="R388" s="8">
        <f t="shared" si="131"/>
        <v>0</v>
      </c>
      <c r="S388" s="8">
        <f t="shared" si="132"/>
        <v>0</v>
      </c>
      <c r="T388" s="8">
        <f t="shared" si="133"/>
        <v>1</v>
      </c>
      <c r="V388" s="8">
        <f t="shared" si="122"/>
        <v>3</v>
      </c>
      <c r="W388">
        <f t="shared" si="123"/>
        <v>1</v>
      </c>
      <c r="Y388" t="str">
        <f t="shared" si="124"/>
        <v>joy</v>
      </c>
    </row>
    <row r="389" spans="2:25" x14ac:dyDescent="0.25">
      <c r="B389" s="5">
        <v>387</v>
      </c>
      <c r="C389" t="s">
        <v>1</v>
      </c>
      <c r="D389" t="s">
        <v>1</v>
      </c>
      <c r="E389" t="s">
        <v>3</v>
      </c>
      <c r="F389" t="s">
        <v>1</v>
      </c>
      <c r="G389" t="s">
        <v>8</v>
      </c>
      <c r="J389" s="19">
        <v>1</v>
      </c>
      <c r="K389" s="5">
        <v>387</v>
      </c>
      <c r="L389" s="8">
        <f t="shared" si="125"/>
        <v>1</v>
      </c>
      <c r="M389" s="8">
        <f t="shared" si="126"/>
        <v>3</v>
      </c>
      <c r="N389" s="8">
        <f t="shared" si="127"/>
        <v>0</v>
      </c>
      <c r="O389" s="8">
        <f t="shared" si="128"/>
        <v>0</v>
      </c>
      <c r="P389" s="8">
        <f t="shared" si="129"/>
        <v>0</v>
      </c>
      <c r="Q389" s="8">
        <f t="shared" si="130"/>
        <v>0</v>
      </c>
      <c r="R389" s="8">
        <f t="shared" si="131"/>
        <v>0</v>
      </c>
      <c r="S389" s="8">
        <f t="shared" si="132"/>
        <v>1</v>
      </c>
      <c r="T389" s="8">
        <f t="shared" si="133"/>
        <v>0</v>
      </c>
      <c r="V389" s="8">
        <f t="shared" si="122"/>
        <v>3</v>
      </c>
      <c r="W389">
        <f t="shared" si="123"/>
        <v>1</v>
      </c>
      <c r="Y389" t="str">
        <f t="shared" si="124"/>
        <v>trust</v>
      </c>
    </row>
    <row r="390" spans="2:25" x14ac:dyDescent="0.25">
      <c r="B390" s="5">
        <v>388</v>
      </c>
      <c r="C390" t="s">
        <v>3</v>
      </c>
      <c r="D390" t="s">
        <v>3</v>
      </c>
      <c r="E390" t="s">
        <v>2</v>
      </c>
      <c r="F390" t="s">
        <v>3</v>
      </c>
      <c r="G390" t="s">
        <v>7</v>
      </c>
      <c r="J390" s="19">
        <v>1</v>
      </c>
      <c r="K390" s="5">
        <v>388</v>
      </c>
      <c r="L390" s="8">
        <f t="shared" si="125"/>
        <v>3</v>
      </c>
      <c r="M390" s="8">
        <f t="shared" si="126"/>
        <v>0</v>
      </c>
      <c r="N390" s="8">
        <f t="shared" si="127"/>
        <v>0</v>
      </c>
      <c r="O390" s="8">
        <f t="shared" si="128"/>
        <v>1</v>
      </c>
      <c r="P390" s="8">
        <f t="shared" si="129"/>
        <v>0</v>
      </c>
      <c r="Q390" s="8">
        <f t="shared" si="130"/>
        <v>0</v>
      </c>
      <c r="R390" s="8">
        <f t="shared" si="131"/>
        <v>0</v>
      </c>
      <c r="S390" s="8">
        <f t="shared" si="132"/>
        <v>0</v>
      </c>
      <c r="T390" s="8">
        <f t="shared" si="133"/>
        <v>1</v>
      </c>
      <c r="V390" s="8">
        <f t="shared" si="122"/>
        <v>3</v>
      </c>
      <c r="W390">
        <f t="shared" si="123"/>
        <v>1</v>
      </c>
      <c r="Y390" t="str">
        <f t="shared" si="124"/>
        <v>joy</v>
      </c>
    </row>
    <row r="391" spans="2:25" x14ac:dyDescent="0.25">
      <c r="B391" s="5">
        <v>389</v>
      </c>
      <c r="C391" t="s">
        <v>3</v>
      </c>
      <c r="D391" t="s">
        <v>3</v>
      </c>
      <c r="E391" t="s">
        <v>2</v>
      </c>
      <c r="F391" t="s">
        <v>3</v>
      </c>
      <c r="G391" t="s">
        <v>7</v>
      </c>
      <c r="J391" s="19">
        <v>1</v>
      </c>
      <c r="K391" s="5">
        <v>389</v>
      </c>
      <c r="L391" s="8">
        <f t="shared" si="125"/>
        <v>3</v>
      </c>
      <c r="M391" s="8">
        <f t="shared" si="126"/>
        <v>0</v>
      </c>
      <c r="N391" s="8">
        <f t="shared" si="127"/>
        <v>0</v>
      </c>
      <c r="O391" s="8">
        <f t="shared" si="128"/>
        <v>1</v>
      </c>
      <c r="P391" s="8">
        <f t="shared" si="129"/>
        <v>0</v>
      </c>
      <c r="Q391" s="8">
        <f t="shared" si="130"/>
        <v>0</v>
      </c>
      <c r="R391" s="8">
        <f t="shared" si="131"/>
        <v>0</v>
      </c>
      <c r="S391" s="8">
        <f t="shared" si="132"/>
        <v>0</v>
      </c>
      <c r="T391" s="8">
        <f t="shared" si="133"/>
        <v>1</v>
      </c>
      <c r="V391" s="8">
        <f t="shared" si="122"/>
        <v>3</v>
      </c>
      <c r="W391">
        <f t="shared" si="123"/>
        <v>1</v>
      </c>
      <c r="Y391" t="str">
        <f t="shared" si="124"/>
        <v>joy</v>
      </c>
    </row>
    <row r="392" spans="2:25" x14ac:dyDescent="0.25">
      <c r="B392" s="5">
        <v>390</v>
      </c>
      <c r="C392" t="s">
        <v>3</v>
      </c>
      <c r="D392" t="s">
        <v>3</v>
      </c>
      <c r="E392" t="s">
        <v>3</v>
      </c>
      <c r="F392" t="s">
        <v>3</v>
      </c>
      <c r="G392" t="s">
        <v>7</v>
      </c>
      <c r="J392" s="19"/>
      <c r="K392" s="5">
        <v>390</v>
      </c>
      <c r="L392" s="8">
        <f t="shared" si="125"/>
        <v>4</v>
      </c>
      <c r="M392" s="8">
        <f t="shared" si="126"/>
        <v>0</v>
      </c>
      <c r="N392" s="8">
        <f t="shared" si="127"/>
        <v>0</v>
      </c>
      <c r="O392" s="8">
        <f t="shared" si="128"/>
        <v>1</v>
      </c>
      <c r="P392" s="8">
        <f t="shared" si="129"/>
        <v>0</v>
      </c>
      <c r="Q392" s="8">
        <f t="shared" si="130"/>
        <v>0</v>
      </c>
      <c r="R392" s="8">
        <f t="shared" si="131"/>
        <v>0</v>
      </c>
      <c r="S392" s="8">
        <f t="shared" si="132"/>
        <v>0</v>
      </c>
      <c r="T392" s="8">
        <f t="shared" si="133"/>
        <v>0</v>
      </c>
      <c r="V392" s="8">
        <f t="shared" si="122"/>
        <v>4</v>
      </c>
      <c r="W392">
        <f t="shared" si="123"/>
        <v>1</v>
      </c>
      <c r="Y392" t="str">
        <f t="shared" si="124"/>
        <v>joy</v>
      </c>
    </row>
    <row r="393" spans="2:25" x14ac:dyDescent="0.25">
      <c r="B393" s="5">
        <v>391</v>
      </c>
      <c r="C393" t="s">
        <v>3</v>
      </c>
      <c r="D393" t="s">
        <v>3</v>
      </c>
      <c r="E393" t="s">
        <v>3</v>
      </c>
      <c r="F393" t="s">
        <v>3</v>
      </c>
      <c r="G393" t="s">
        <v>3</v>
      </c>
      <c r="J393" s="19"/>
      <c r="K393" s="5">
        <v>391</v>
      </c>
      <c r="L393" s="8">
        <f t="shared" si="125"/>
        <v>5</v>
      </c>
      <c r="M393" s="8">
        <f t="shared" si="126"/>
        <v>0</v>
      </c>
      <c r="N393" s="8">
        <f t="shared" si="127"/>
        <v>0</v>
      </c>
      <c r="O393" s="8">
        <f t="shared" si="128"/>
        <v>0</v>
      </c>
      <c r="P393" s="8">
        <f t="shared" si="129"/>
        <v>0</v>
      </c>
      <c r="Q393" s="8">
        <f t="shared" si="130"/>
        <v>0</v>
      </c>
      <c r="R393" s="8">
        <f t="shared" si="131"/>
        <v>0</v>
      </c>
      <c r="S393" s="8">
        <f t="shared" si="132"/>
        <v>0</v>
      </c>
      <c r="T393" s="8">
        <f t="shared" si="133"/>
        <v>0</v>
      </c>
      <c r="V393" s="8">
        <f t="shared" si="122"/>
        <v>5</v>
      </c>
      <c r="W393">
        <f t="shared" si="123"/>
        <v>1</v>
      </c>
      <c r="Y393" t="str">
        <f t="shared" si="124"/>
        <v>joy</v>
      </c>
    </row>
    <row r="394" spans="2:25" x14ac:dyDescent="0.25">
      <c r="B394" s="5">
        <v>392</v>
      </c>
      <c r="C394" t="s">
        <v>3</v>
      </c>
      <c r="D394" t="s">
        <v>3</v>
      </c>
      <c r="E394" t="s">
        <v>3</v>
      </c>
      <c r="F394" t="s">
        <v>3</v>
      </c>
      <c r="G394" t="s">
        <v>3</v>
      </c>
      <c r="J394" s="19"/>
      <c r="K394" s="5">
        <v>392</v>
      </c>
      <c r="L394" s="8">
        <f t="shared" si="125"/>
        <v>5</v>
      </c>
      <c r="M394" s="8">
        <f t="shared" si="126"/>
        <v>0</v>
      </c>
      <c r="N394" s="8">
        <f t="shared" si="127"/>
        <v>0</v>
      </c>
      <c r="O394" s="8">
        <f t="shared" si="128"/>
        <v>0</v>
      </c>
      <c r="P394" s="8">
        <f t="shared" si="129"/>
        <v>0</v>
      </c>
      <c r="Q394" s="8">
        <f t="shared" si="130"/>
        <v>0</v>
      </c>
      <c r="R394" s="8">
        <f t="shared" si="131"/>
        <v>0</v>
      </c>
      <c r="S394" s="8">
        <f t="shared" si="132"/>
        <v>0</v>
      </c>
      <c r="T394" s="8">
        <f t="shared" si="133"/>
        <v>0</v>
      </c>
      <c r="V394" s="8">
        <f t="shared" si="122"/>
        <v>5</v>
      </c>
      <c r="W394">
        <f t="shared" si="123"/>
        <v>1</v>
      </c>
      <c r="Y394" t="str">
        <f t="shared" si="124"/>
        <v>joy</v>
      </c>
    </row>
    <row r="395" spans="2:25" x14ac:dyDescent="0.25">
      <c r="B395" s="5">
        <v>393</v>
      </c>
      <c r="C395" t="s">
        <v>1</v>
      </c>
      <c r="D395" t="s">
        <v>3</v>
      </c>
      <c r="E395" t="s">
        <v>3</v>
      </c>
      <c r="F395" t="s">
        <v>3</v>
      </c>
      <c r="G395" t="s">
        <v>3</v>
      </c>
      <c r="J395" s="19"/>
      <c r="K395" s="5">
        <v>393</v>
      </c>
      <c r="L395" s="8">
        <f t="shared" si="125"/>
        <v>4</v>
      </c>
      <c r="M395" s="8">
        <f t="shared" si="126"/>
        <v>1</v>
      </c>
      <c r="N395" s="8">
        <f t="shared" si="127"/>
        <v>0</v>
      </c>
      <c r="O395" s="8">
        <f t="shared" si="128"/>
        <v>0</v>
      </c>
      <c r="P395" s="8">
        <f t="shared" si="129"/>
        <v>0</v>
      </c>
      <c r="Q395" s="8">
        <f t="shared" si="130"/>
        <v>0</v>
      </c>
      <c r="R395" s="8">
        <f t="shared" si="131"/>
        <v>0</v>
      </c>
      <c r="S395" s="8">
        <f t="shared" si="132"/>
        <v>0</v>
      </c>
      <c r="T395" s="8">
        <f t="shared" si="133"/>
        <v>0</v>
      </c>
      <c r="V395" s="8">
        <f t="shared" si="122"/>
        <v>4</v>
      </c>
      <c r="W395">
        <f t="shared" si="123"/>
        <v>1</v>
      </c>
      <c r="Y395" t="str">
        <f t="shared" si="124"/>
        <v>joy</v>
      </c>
    </row>
    <row r="396" spans="2:25" x14ac:dyDescent="0.25">
      <c r="B396" s="5">
        <v>394</v>
      </c>
      <c r="C396" t="s">
        <v>3</v>
      </c>
      <c r="D396" t="s">
        <v>3</v>
      </c>
      <c r="E396" t="s">
        <v>3</v>
      </c>
      <c r="F396" t="s">
        <v>3</v>
      </c>
      <c r="G396" t="s">
        <v>3</v>
      </c>
      <c r="J396" s="19"/>
      <c r="K396" s="5">
        <v>394</v>
      </c>
      <c r="L396" s="8">
        <f t="shared" si="125"/>
        <v>5</v>
      </c>
      <c r="M396" s="8">
        <f t="shared" si="126"/>
        <v>0</v>
      </c>
      <c r="N396" s="8">
        <f t="shared" si="127"/>
        <v>0</v>
      </c>
      <c r="O396" s="8">
        <f t="shared" si="128"/>
        <v>0</v>
      </c>
      <c r="P396" s="8">
        <f t="shared" si="129"/>
        <v>0</v>
      </c>
      <c r="Q396" s="8">
        <f t="shared" si="130"/>
        <v>0</v>
      </c>
      <c r="R396" s="8">
        <f t="shared" si="131"/>
        <v>0</v>
      </c>
      <c r="S396" s="8">
        <f t="shared" si="132"/>
        <v>0</v>
      </c>
      <c r="T396" s="8">
        <f t="shared" si="133"/>
        <v>0</v>
      </c>
      <c r="V396" s="8">
        <f t="shared" si="122"/>
        <v>5</v>
      </c>
      <c r="W396">
        <f t="shared" si="123"/>
        <v>1</v>
      </c>
      <c r="Y396" t="str">
        <f t="shared" si="124"/>
        <v>joy</v>
      </c>
    </row>
    <row r="397" spans="2:25" x14ac:dyDescent="0.25">
      <c r="B397" s="5">
        <v>395</v>
      </c>
      <c r="C397" t="s">
        <v>3</v>
      </c>
      <c r="D397" t="s">
        <v>3</v>
      </c>
      <c r="E397" t="s">
        <v>3</v>
      </c>
      <c r="F397" t="s">
        <v>3</v>
      </c>
      <c r="G397" t="s">
        <v>3</v>
      </c>
      <c r="J397" s="19"/>
      <c r="K397" s="5">
        <v>395</v>
      </c>
      <c r="L397" s="8">
        <f t="shared" si="125"/>
        <v>5</v>
      </c>
      <c r="M397" s="8">
        <f t="shared" si="126"/>
        <v>0</v>
      </c>
      <c r="N397" s="8">
        <f t="shared" si="127"/>
        <v>0</v>
      </c>
      <c r="O397" s="8">
        <f t="shared" si="128"/>
        <v>0</v>
      </c>
      <c r="P397" s="8">
        <f t="shared" si="129"/>
        <v>0</v>
      </c>
      <c r="Q397" s="8">
        <f t="shared" si="130"/>
        <v>0</v>
      </c>
      <c r="R397" s="8">
        <f t="shared" si="131"/>
        <v>0</v>
      </c>
      <c r="S397" s="8">
        <f t="shared" si="132"/>
        <v>0</v>
      </c>
      <c r="T397" s="8">
        <f t="shared" si="133"/>
        <v>0</v>
      </c>
      <c r="V397" s="8">
        <f t="shared" si="122"/>
        <v>5</v>
      </c>
      <c r="W397">
        <f t="shared" si="123"/>
        <v>1</v>
      </c>
      <c r="Y397" t="str">
        <f t="shared" si="124"/>
        <v>joy</v>
      </c>
    </row>
    <row r="398" spans="2:25" x14ac:dyDescent="0.25">
      <c r="B398" s="5">
        <v>396</v>
      </c>
      <c r="C398" t="s">
        <v>6</v>
      </c>
      <c r="D398" t="s">
        <v>5</v>
      </c>
      <c r="E398" t="s">
        <v>5</v>
      </c>
      <c r="F398" t="s">
        <v>5</v>
      </c>
      <c r="G398" t="s">
        <v>8</v>
      </c>
      <c r="J398" s="19">
        <v>1</v>
      </c>
      <c r="K398" s="5">
        <v>396</v>
      </c>
      <c r="L398" s="8">
        <f t="shared" si="125"/>
        <v>0</v>
      </c>
      <c r="M398" s="8">
        <f t="shared" si="126"/>
        <v>0</v>
      </c>
      <c r="N398" s="8">
        <f t="shared" si="127"/>
        <v>1</v>
      </c>
      <c r="O398" s="8">
        <f t="shared" si="128"/>
        <v>0</v>
      </c>
      <c r="P398" s="8">
        <f t="shared" si="129"/>
        <v>3</v>
      </c>
      <c r="Q398" s="8">
        <f t="shared" si="130"/>
        <v>0</v>
      </c>
      <c r="R398" s="8">
        <f t="shared" si="131"/>
        <v>0</v>
      </c>
      <c r="S398" s="8">
        <f t="shared" si="132"/>
        <v>1</v>
      </c>
      <c r="T398" s="8">
        <f t="shared" si="133"/>
        <v>0</v>
      </c>
      <c r="V398" s="8">
        <f t="shared" si="122"/>
        <v>3</v>
      </c>
      <c r="W398">
        <f t="shared" si="123"/>
        <v>1</v>
      </c>
      <c r="Y398" t="str">
        <f t="shared" si="124"/>
        <v>sadness</v>
      </c>
    </row>
    <row r="399" spans="2:25" x14ac:dyDescent="0.25">
      <c r="B399" s="5">
        <v>397</v>
      </c>
      <c r="C399" t="s">
        <v>1</v>
      </c>
      <c r="D399" t="s">
        <v>5</v>
      </c>
      <c r="E399" t="s">
        <v>5</v>
      </c>
      <c r="F399" t="s">
        <v>5</v>
      </c>
      <c r="G399" t="s">
        <v>8</v>
      </c>
      <c r="J399" s="19">
        <v>1</v>
      </c>
      <c r="K399" s="5">
        <v>397</v>
      </c>
      <c r="L399" s="8">
        <f t="shared" si="125"/>
        <v>0</v>
      </c>
      <c r="M399" s="8">
        <f t="shared" si="126"/>
        <v>1</v>
      </c>
      <c r="N399" s="8">
        <f t="shared" si="127"/>
        <v>0</v>
      </c>
      <c r="O399" s="8">
        <f t="shared" si="128"/>
        <v>0</v>
      </c>
      <c r="P399" s="8">
        <f t="shared" si="129"/>
        <v>3</v>
      </c>
      <c r="Q399" s="8">
        <f t="shared" si="130"/>
        <v>0</v>
      </c>
      <c r="R399" s="8">
        <f t="shared" si="131"/>
        <v>0</v>
      </c>
      <c r="S399" s="8">
        <f t="shared" si="132"/>
        <v>1</v>
      </c>
      <c r="T399" s="8">
        <f t="shared" si="133"/>
        <v>0</v>
      </c>
      <c r="V399" s="8">
        <f t="shared" si="122"/>
        <v>3</v>
      </c>
      <c r="W399">
        <f t="shared" si="123"/>
        <v>1</v>
      </c>
      <c r="Y399" t="str">
        <f t="shared" si="124"/>
        <v>sadness</v>
      </c>
    </row>
    <row r="400" spans="2:25" x14ac:dyDescent="0.25">
      <c r="B400" s="5">
        <v>398</v>
      </c>
      <c r="C400" t="s">
        <v>3</v>
      </c>
      <c r="D400" t="s">
        <v>3</v>
      </c>
      <c r="E400" t="s">
        <v>3</v>
      </c>
      <c r="F400" t="s">
        <v>3</v>
      </c>
      <c r="G400" t="s">
        <v>8</v>
      </c>
      <c r="J400" s="19"/>
      <c r="K400" s="5">
        <v>398</v>
      </c>
      <c r="L400" s="8">
        <f t="shared" si="125"/>
        <v>4</v>
      </c>
      <c r="M400" s="8">
        <f t="shared" si="126"/>
        <v>0</v>
      </c>
      <c r="N400" s="8">
        <f t="shared" si="127"/>
        <v>0</v>
      </c>
      <c r="O400" s="8">
        <f t="shared" si="128"/>
        <v>0</v>
      </c>
      <c r="P400" s="8">
        <f t="shared" si="129"/>
        <v>0</v>
      </c>
      <c r="Q400" s="8">
        <f t="shared" si="130"/>
        <v>0</v>
      </c>
      <c r="R400" s="8">
        <f t="shared" si="131"/>
        <v>0</v>
      </c>
      <c r="S400" s="8">
        <f t="shared" si="132"/>
        <v>1</v>
      </c>
      <c r="T400" s="8">
        <f t="shared" si="133"/>
        <v>0</v>
      </c>
      <c r="V400" s="8">
        <f t="shared" si="122"/>
        <v>4</v>
      </c>
      <c r="W400">
        <f t="shared" si="123"/>
        <v>1</v>
      </c>
      <c r="Y400" t="str">
        <f t="shared" si="124"/>
        <v>joy</v>
      </c>
    </row>
    <row r="401" spans="2:25" x14ac:dyDescent="0.25">
      <c r="B401" s="5">
        <v>399</v>
      </c>
      <c r="C401" t="s">
        <v>3</v>
      </c>
      <c r="D401" t="s">
        <v>3</v>
      </c>
      <c r="E401" t="s">
        <v>3</v>
      </c>
      <c r="F401" t="s">
        <v>3</v>
      </c>
      <c r="G401" t="s">
        <v>8</v>
      </c>
      <c r="J401" s="19"/>
      <c r="K401" s="5">
        <v>399</v>
      </c>
      <c r="L401" s="8">
        <f t="shared" si="125"/>
        <v>4</v>
      </c>
      <c r="M401" s="8">
        <f t="shared" si="126"/>
        <v>0</v>
      </c>
      <c r="N401" s="8">
        <f t="shared" si="127"/>
        <v>0</v>
      </c>
      <c r="O401" s="8">
        <f t="shared" si="128"/>
        <v>0</v>
      </c>
      <c r="P401" s="8">
        <f t="shared" si="129"/>
        <v>0</v>
      </c>
      <c r="Q401" s="8">
        <f t="shared" si="130"/>
        <v>0</v>
      </c>
      <c r="R401" s="8">
        <f t="shared" si="131"/>
        <v>0</v>
      </c>
      <c r="S401" s="8">
        <f t="shared" si="132"/>
        <v>1</v>
      </c>
      <c r="T401" s="8">
        <f t="shared" si="133"/>
        <v>0</v>
      </c>
      <c r="V401" s="8">
        <f t="shared" si="122"/>
        <v>4</v>
      </c>
      <c r="W401">
        <f t="shared" si="123"/>
        <v>1</v>
      </c>
      <c r="Y401" t="str">
        <f t="shared" si="124"/>
        <v>joy</v>
      </c>
    </row>
    <row r="402" spans="2:25" x14ac:dyDescent="0.25">
      <c r="B402" s="5">
        <v>400</v>
      </c>
      <c r="C402" t="s">
        <v>3</v>
      </c>
      <c r="D402" t="s">
        <v>3</v>
      </c>
      <c r="E402" t="s">
        <v>3</v>
      </c>
      <c r="F402" t="s">
        <v>3</v>
      </c>
      <c r="G402" t="s">
        <v>7</v>
      </c>
      <c r="J402" s="19"/>
      <c r="K402" s="5">
        <v>400</v>
      </c>
      <c r="L402" s="8">
        <f t="shared" si="125"/>
        <v>4</v>
      </c>
      <c r="M402" s="8">
        <f t="shared" si="126"/>
        <v>0</v>
      </c>
      <c r="N402" s="8">
        <f t="shared" si="127"/>
        <v>0</v>
      </c>
      <c r="O402" s="8">
        <f t="shared" si="128"/>
        <v>1</v>
      </c>
      <c r="P402" s="8">
        <f t="shared" si="129"/>
        <v>0</v>
      </c>
      <c r="Q402" s="8">
        <f t="shared" si="130"/>
        <v>0</v>
      </c>
      <c r="R402" s="8">
        <f t="shared" si="131"/>
        <v>0</v>
      </c>
      <c r="S402" s="8">
        <f t="shared" si="132"/>
        <v>0</v>
      </c>
      <c r="T402" s="8">
        <f t="shared" si="133"/>
        <v>0</v>
      </c>
      <c r="V402" s="8">
        <f t="shared" si="122"/>
        <v>4</v>
      </c>
      <c r="W402">
        <f t="shared" si="123"/>
        <v>1</v>
      </c>
      <c r="Y402" t="str">
        <f t="shared" si="124"/>
        <v>joy</v>
      </c>
    </row>
    <row r="403" spans="2:25" x14ac:dyDescent="0.25">
      <c r="B403" s="5">
        <v>401</v>
      </c>
      <c r="C403" t="s">
        <v>1</v>
      </c>
      <c r="D403" t="s">
        <v>1</v>
      </c>
      <c r="E403" t="s">
        <v>3</v>
      </c>
      <c r="F403" t="s">
        <v>1</v>
      </c>
      <c r="G403" t="s">
        <v>7</v>
      </c>
      <c r="J403" s="19">
        <v>1</v>
      </c>
      <c r="K403" s="5">
        <v>401</v>
      </c>
      <c r="L403" s="8">
        <f t="shared" si="125"/>
        <v>1</v>
      </c>
      <c r="M403" s="8">
        <f t="shared" si="126"/>
        <v>3</v>
      </c>
      <c r="N403" s="8">
        <f t="shared" si="127"/>
        <v>0</v>
      </c>
      <c r="O403" s="8">
        <f t="shared" si="128"/>
        <v>1</v>
      </c>
      <c r="P403" s="8">
        <f t="shared" si="129"/>
        <v>0</v>
      </c>
      <c r="Q403" s="8">
        <f t="shared" si="130"/>
        <v>0</v>
      </c>
      <c r="R403" s="8">
        <f t="shared" si="131"/>
        <v>0</v>
      </c>
      <c r="S403" s="8">
        <f t="shared" si="132"/>
        <v>0</v>
      </c>
      <c r="T403" s="8">
        <f t="shared" si="133"/>
        <v>0</v>
      </c>
      <c r="V403" s="8">
        <f t="shared" si="122"/>
        <v>3</v>
      </c>
      <c r="W403">
        <f t="shared" si="123"/>
        <v>1</v>
      </c>
      <c r="Y403" t="str">
        <f t="shared" si="124"/>
        <v>trust</v>
      </c>
    </row>
    <row r="404" spans="2:25" x14ac:dyDescent="0.25">
      <c r="B404" s="5">
        <v>402</v>
      </c>
      <c r="C404" t="s">
        <v>1</v>
      </c>
      <c r="D404" t="s">
        <v>3</v>
      </c>
      <c r="E404" t="s">
        <v>3</v>
      </c>
      <c r="F404" t="s">
        <v>3</v>
      </c>
      <c r="G404" t="s">
        <v>8</v>
      </c>
      <c r="J404" s="19">
        <v>1</v>
      </c>
      <c r="K404" s="5">
        <v>402</v>
      </c>
      <c r="L404" s="8">
        <f t="shared" si="125"/>
        <v>3</v>
      </c>
      <c r="M404" s="8">
        <f t="shared" si="126"/>
        <v>1</v>
      </c>
      <c r="N404" s="8">
        <f t="shared" si="127"/>
        <v>0</v>
      </c>
      <c r="O404" s="8">
        <f t="shared" si="128"/>
        <v>0</v>
      </c>
      <c r="P404" s="8">
        <f t="shared" si="129"/>
        <v>0</v>
      </c>
      <c r="Q404" s="8">
        <f t="shared" si="130"/>
        <v>0</v>
      </c>
      <c r="R404" s="8">
        <f t="shared" si="131"/>
        <v>0</v>
      </c>
      <c r="S404" s="8">
        <f t="shared" si="132"/>
        <v>1</v>
      </c>
      <c r="T404" s="8">
        <f t="shared" si="133"/>
        <v>0</v>
      </c>
      <c r="V404" s="8">
        <f t="shared" ref="V404:V467" si="134">MAX(L404:T404)</f>
        <v>3</v>
      </c>
      <c r="W404">
        <f t="shared" ref="W404:W467" si="135">COUNTIF(L404:T404, "=" &amp; V404)</f>
        <v>1</v>
      </c>
      <c r="Y404" t="str">
        <f t="shared" ref="Y404:Y467" si="136">INDEX($L$2:$T$2,MATCH(MAX(L404:T404),L404:T404,0))</f>
        <v>joy</v>
      </c>
    </row>
    <row r="405" spans="2:25" x14ac:dyDescent="0.25">
      <c r="B405" s="5">
        <v>403</v>
      </c>
      <c r="C405" t="s">
        <v>3</v>
      </c>
      <c r="D405" t="s">
        <v>3</v>
      </c>
      <c r="E405" t="s">
        <v>3</v>
      </c>
      <c r="F405" t="s">
        <v>3</v>
      </c>
      <c r="G405" t="s">
        <v>8</v>
      </c>
      <c r="J405" s="19"/>
      <c r="K405" s="5">
        <v>403</v>
      </c>
      <c r="L405" s="8">
        <f t="shared" si="125"/>
        <v>4</v>
      </c>
      <c r="M405" s="8">
        <f t="shared" si="126"/>
        <v>0</v>
      </c>
      <c r="N405" s="8">
        <f t="shared" si="127"/>
        <v>0</v>
      </c>
      <c r="O405" s="8">
        <f t="shared" si="128"/>
        <v>0</v>
      </c>
      <c r="P405" s="8">
        <f t="shared" si="129"/>
        <v>0</v>
      </c>
      <c r="Q405" s="8">
        <f t="shared" si="130"/>
        <v>0</v>
      </c>
      <c r="R405" s="8">
        <f t="shared" si="131"/>
        <v>0</v>
      </c>
      <c r="S405" s="8">
        <f t="shared" si="132"/>
        <v>1</v>
      </c>
      <c r="T405" s="8">
        <f t="shared" si="133"/>
        <v>0</v>
      </c>
      <c r="V405" s="8">
        <f t="shared" si="134"/>
        <v>4</v>
      </c>
      <c r="W405">
        <f t="shared" si="135"/>
        <v>1</v>
      </c>
      <c r="Y405" t="str">
        <f t="shared" si="136"/>
        <v>joy</v>
      </c>
    </row>
    <row r="406" spans="2:25" x14ac:dyDescent="0.25">
      <c r="B406" s="5">
        <v>404</v>
      </c>
      <c r="C406" t="s">
        <v>3</v>
      </c>
      <c r="D406" t="s">
        <v>3</v>
      </c>
      <c r="E406" t="s">
        <v>3</v>
      </c>
      <c r="F406" t="s">
        <v>3</v>
      </c>
      <c r="G406" t="s">
        <v>8</v>
      </c>
      <c r="J406" s="19"/>
      <c r="K406" s="5">
        <v>404</v>
      </c>
      <c r="L406" s="8">
        <f t="shared" si="125"/>
        <v>4</v>
      </c>
      <c r="M406" s="8">
        <f t="shared" si="126"/>
        <v>0</v>
      </c>
      <c r="N406" s="8">
        <f t="shared" si="127"/>
        <v>0</v>
      </c>
      <c r="O406" s="8">
        <f t="shared" si="128"/>
        <v>0</v>
      </c>
      <c r="P406" s="8">
        <f t="shared" si="129"/>
        <v>0</v>
      </c>
      <c r="Q406" s="8">
        <f t="shared" si="130"/>
        <v>0</v>
      </c>
      <c r="R406" s="8">
        <f t="shared" si="131"/>
        <v>0</v>
      </c>
      <c r="S406" s="8">
        <f t="shared" si="132"/>
        <v>1</v>
      </c>
      <c r="T406" s="8">
        <f t="shared" si="133"/>
        <v>0</v>
      </c>
      <c r="V406" s="8">
        <f t="shared" si="134"/>
        <v>4</v>
      </c>
      <c r="W406">
        <f t="shared" si="135"/>
        <v>1</v>
      </c>
      <c r="Y406" t="str">
        <f t="shared" si="136"/>
        <v>joy</v>
      </c>
    </row>
    <row r="407" spans="2:25" x14ac:dyDescent="0.25">
      <c r="B407" s="5">
        <v>405</v>
      </c>
      <c r="C407" t="s">
        <v>3</v>
      </c>
      <c r="D407" t="s">
        <v>3</v>
      </c>
      <c r="E407" t="s">
        <v>3</v>
      </c>
      <c r="F407" t="s">
        <v>3</v>
      </c>
      <c r="G407" t="s">
        <v>8</v>
      </c>
      <c r="J407" s="19"/>
      <c r="K407" s="5">
        <v>405</v>
      </c>
      <c r="L407" s="8">
        <f t="shared" si="125"/>
        <v>4</v>
      </c>
      <c r="M407" s="8">
        <f t="shared" si="126"/>
        <v>0</v>
      </c>
      <c r="N407" s="8">
        <f t="shared" si="127"/>
        <v>0</v>
      </c>
      <c r="O407" s="8">
        <f t="shared" si="128"/>
        <v>0</v>
      </c>
      <c r="P407" s="8">
        <f t="shared" si="129"/>
        <v>0</v>
      </c>
      <c r="Q407" s="8">
        <f t="shared" si="130"/>
        <v>0</v>
      </c>
      <c r="R407" s="8">
        <f t="shared" si="131"/>
        <v>0</v>
      </c>
      <c r="S407" s="8">
        <f t="shared" si="132"/>
        <v>1</v>
      </c>
      <c r="T407" s="8">
        <f t="shared" si="133"/>
        <v>0</v>
      </c>
      <c r="V407" s="8">
        <f t="shared" si="134"/>
        <v>4</v>
      </c>
      <c r="W407">
        <f t="shared" si="135"/>
        <v>1</v>
      </c>
      <c r="Y407" t="str">
        <f t="shared" si="136"/>
        <v>joy</v>
      </c>
    </row>
    <row r="408" spans="2:25" x14ac:dyDescent="0.25">
      <c r="B408" s="5">
        <v>406</v>
      </c>
      <c r="C408" t="s">
        <v>1</v>
      </c>
      <c r="D408" t="s">
        <v>1</v>
      </c>
      <c r="E408" t="s">
        <v>1</v>
      </c>
      <c r="F408" t="s">
        <v>1</v>
      </c>
      <c r="G408" t="s">
        <v>7</v>
      </c>
      <c r="J408" s="19"/>
      <c r="K408" s="5">
        <v>406</v>
      </c>
      <c r="L408" s="8">
        <f t="shared" si="125"/>
        <v>0</v>
      </c>
      <c r="M408" s="8">
        <f t="shared" si="126"/>
        <v>4</v>
      </c>
      <c r="N408" s="8">
        <f t="shared" si="127"/>
        <v>0</v>
      </c>
      <c r="O408" s="8">
        <f t="shared" si="128"/>
        <v>1</v>
      </c>
      <c r="P408" s="8">
        <f t="shared" si="129"/>
        <v>0</v>
      </c>
      <c r="Q408" s="8">
        <f t="shared" si="130"/>
        <v>0</v>
      </c>
      <c r="R408" s="8">
        <f t="shared" si="131"/>
        <v>0</v>
      </c>
      <c r="S408" s="8">
        <f t="shared" si="132"/>
        <v>0</v>
      </c>
      <c r="T408" s="8">
        <f t="shared" si="133"/>
        <v>0</v>
      </c>
      <c r="V408" s="8">
        <f t="shared" si="134"/>
        <v>4</v>
      </c>
      <c r="W408">
        <f t="shared" si="135"/>
        <v>1</v>
      </c>
      <c r="Y408" t="str">
        <f t="shared" si="136"/>
        <v>trust</v>
      </c>
    </row>
    <row r="409" spans="2:25" x14ac:dyDescent="0.25">
      <c r="B409" s="5">
        <v>407</v>
      </c>
      <c r="C409" t="s">
        <v>3</v>
      </c>
      <c r="D409" t="s">
        <v>3</v>
      </c>
      <c r="E409" t="s">
        <v>3</v>
      </c>
      <c r="F409" t="s">
        <v>3</v>
      </c>
      <c r="G409" t="s">
        <v>8</v>
      </c>
      <c r="J409" s="19"/>
      <c r="K409" s="5">
        <v>407</v>
      </c>
      <c r="L409" s="8">
        <f t="shared" si="125"/>
        <v>4</v>
      </c>
      <c r="M409" s="8">
        <f t="shared" si="126"/>
        <v>0</v>
      </c>
      <c r="N409" s="8">
        <f t="shared" si="127"/>
        <v>0</v>
      </c>
      <c r="O409" s="8">
        <f t="shared" si="128"/>
        <v>0</v>
      </c>
      <c r="P409" s="8">
        <f t="shared" si="129"/>
        <v>0</v>
      </c>
      <c r="Q409" s="8">
        <f t="shared" si="130"/>
        <v>0</v>
      </c>
      <c r="R409" s="8">
        <f t="shared" si="131"/>
        <v>0</v>
      </c>
      <c r="S409" s="8">
        <f t="shared" si="132"/>
        <v>1</v>
      </c>
      <c r="T409" s="8">
        <f t="shared" si="133"/>
        <v>0</v>
      </c>
      <c r="V409" s="8">
        <f t="shared" si="134"/>
        <v>4</v>
      </c>
      <c r="W409">
        <f t="shared" si="135"/>
        <v>1</v>
      </c>
      <c r="Y409" t="str">
        <f t="shared" si="136"/>
        <v>joy</v>
      </c>
    </row>
    <row r="410" spans="2:25" x14ac:dyDescent="0.25">
      <c r="B410" s="5">
        <v>408</v>
      </c>
      <c r="C410" t="s">
        <v>6</v>
      </c>
      <c r="D410" t="s">
        <v>5</v>
      </c>
      <c r="E410" t="s">
        <v>5</v>
      </c>
      <c r="F410" t="s">
        <v>5</v>
      </c>
      <c r="G410" t="s">
        <v>5</v>
      </c>
      <c r="J410" s="19"/>
      <c r="K410" s="5">
        <v>408</v>
      </c>
      <c r="L410" s="8">
        <f t="shared" si="125"/>
        <v>0</v>
      </c>
      <c r="M410" s="8">
        <f t="shared" si="126"/>
        <v>0</v>
      </c>
      <c r="N410" s="8">
        <f t="shared" si="127"/>
        <v>1</v>
      </c>
      <c r="O410" s="8">
        <f t="shared" si="128"/>
        <v>0</v>
      </c>
      <c r="P410" s="8">
        <f t="shared" si="129"/>
        <v>4</v>
      </c>
      <c r="Q410" s="8">
        <f t="shared" si="130"/>
        <v>0</v>
      </c>
      <c r="R410" s="8">
        <f t="shared" si="131"/>
        <v>0</v>
      </c>
      <c r="S410" s="8">
        <f t="shared" si="132"/>
        <v>0</v>
      </c>
      <c r="T410" s="8">
        <f t="shared" si="133"/>
        <v>0</v>
      </c>
      <c r="V410" s="8">
        <f t="shared" si="134"/>
        <v>4</v>
      </c>
      <c r="W410">
        <f t="shared" si="135"/>
        <v>1</v>
      </c>
      <c r="Y410" t="str">
        <f t="shared" si="136"/>
        <v>sadness</v>
      </c>
    </row>
    <row r="411" spans="2:25" x14ac:dyDescent="0.25">
      <c r="B411" s="5">
        <v>409</v>
      </c>
      <c r="C411" t="s">
        <v>3</v>
      </c>
      <c r="D411" t="s">
        <v>5</v>
      </c>
      <c r="E411" t="s">
        <v>2</v>
      </c>
      <c r="F411" t="s">
        <v>5</v>
      </c>
      <c r="G411" t="s">
        <v>5</v>
      </c>
      <c r="J411" s="19">
        <v>1</v>
      </c>
      <c r="K411" s="5">
        <v>409</v>
      </c>
      <c r="L411" s="8">
        <f t="shared" si="125"/>
        <v>1</v>
      </c>
      <c r="M411" s="8">
        <f t="shared" si="126"/>
        <v>0</v>
      </c>
      <c r="N411" s="8">
        <f t="shared" si="127"/>
        <v>0</v>
      </c>
      <c r="O411" s="8">
        <f t="shared" si="128"/>
        <v>0</v>
      </c>
      <c r="P411" s="8">
        <f t="shared" si="129"/>
        <v>3</v>
      </c>
      <c r="Q411" s="8">
        <f t="shared" si="130"/>
        <v>0</v>
      </c>
      <c r="R411" s="8">
        <f t="shared" si="131"/>
        <v>0</v>
      </c>
      <c r="S411" s="8">
        <f t="shared" si="132"/>
        <v>0</v>
      </c>
      <c r="T411" s="8">
        <f t="shared" si="133"/>
        <v>1</v>
      </c>
      <c r="V411" s="8">
        <f t="shared" si="134"/>
        <v>3</v>
      </c>
      <c r="W411">
        <f t="shared" si="135"/>
        <v>1</v>
      </c>
      <c r="Y411" t="str">
        <f t="shared" si="136"/>
        <v>sadness</v>
      </c>
    </row>
    <row r="412" spans="2:25" x14ac:dyDescent="0.25">
      <c r="B412" s="5">
        <v>410</v>
      </c>
      <c r="C412" t="s">
        <v>3</v>
      </c>
      <c r="D412" t="s">
        <v>3</v>
      </c>
      <c r="E412" t="s">
        <v>2</v>
      </c>
      <c r="F412" t="s">
        <v>3</v>
      </c>
      <c r="G412" t="s">
        <v>7</v>
      </c>
      <c r="J412" s="19">
        <v>1</v>
      </c>
      <c r="K412" s="5">
        <v>410</v>
      </c>
      <c r="L412" s="8">
        <f t="shared" si="125"/>
        <v>3</v>
      </c>
      <c r="M412" s="8">
        <f t="shared" si="126"/>
        <v>0</v>
      </c>
      <c r="N412" s="8">
        <f t="shared" si="127"/>
        <v>0</v>
      </c>
      <c r="O412" s="8">
        <f t="shared" si="128"/>
        <v>1</v>
      </c>
      <c r="P412" s="8">
        <f t="shared" si="129"/>
        <v>0</v>
      </c>
      <c r="Q412" s="8">
        <f t="shared" si="130"/>
        <v>0</v>
      </c>
      <c r="R412" s="8">
        <f t="shared" si="131"/>
        <v>0</v>
      </c>
      <c r="S412" s="8">
        <f t="shared" si="132"/>
        <v>0</v>
      </c>
      <c r="T412" s="8">
        <f t="shared" si="133"/>
        <v>1</v>
      </c>
      <c r="V412" s="8">
        <f t="shared" si="134"/>
        <v>3</v>
      </c>
      <c r="W412">
        <f t="shared" si="135"/>
        <v>1</v>
      </c>
      <c r="Y412" t="str">
        <f t="shared" si="136"/>
        <v>joy</v>
      </c>
    </row>
    <row r="413" spans="2:25" x14ac:dyDescent="0.25">
      <c r="B413" s="5">
        <v>411</v>
      </c>
      <c r="C413" t="s">
        <v>3</v>
      </c>
      <c r="D413" t="s">
        <v>3</v>
      </c>
      <c r="E413" t="s">
        <v>2</v>
      </c>
      <c r="F413" t="s">
        <v>3</v>
      </c>
      <c r="G413" t="s">
        <v>7</v>
      </c>
      <c r="J413" s="19">
        <v>1</v>
      </c>
      <c r="K413" s="5">
        <v>411</v>
      </c>
      <c r="L413" s="8">
        <f t="shared" si="125"/>
        <v>3</v>
      </c>
      <c r="M413" s="8">
        <f t="shared" si="126"/>
        <v>0</v>
      </c>
      <c r="N413" s="8">
        <f t="shared" si="127"/>
        <v>0</v>
      </c>
      <c r="O413" s="8">
        <f t="shared" si="128"/>
        <v>1</v>
      </c>
      <c r="P413" s="8">
        <f t="shared" si="129"/>
        <v>0</v>
      </c>
      <c r="Q413" s="8">
        <f t="shared" si="130"/>
        <v>0</v>
      </c>
      <c r="R413" s="8">
        <f t="shared" si="131"/>
        <v>0</v>
      </c>
      <c r="S413" s="8">
        <f t="shared" si="132"/>
        <v>0</v>
      </c>
      <c r="T413" s="8">
        <f t="shared" si="133"/>
        <v>1</v>
      </c>
      <c r="V413" s="8">
        <f t="shared" si="134"/>
        <v>3</v>
      </c>
      <c r="W413">
        <f t="shared" si="135"/>
        <v>1</v>
      </c>
      <c r="Y413" t="str">
        <f t="shared" si="136"/>
        <v>joy</v>
      </c>
    </row>
    <row r="414" spans="2:25" x14ac:dyDescent="0.25">
      <c r="B414" s="5">
        <v>412</v>
      </c>
      <c r="C414" t="s">
        <v>3</v>
      </c>
      <c r="D414" t="s">
        <v>3</v>
      </c>
      <c r="E414" t="s">
        <v>3</v>
      </c>
      <c r="F414" t="s">
        <v>3</v>
      </c>
      <c r="G414" t="s">
        <v>2</v>
      </c>
      <c r="J414" s="19"/>
      <c r="K414" s="5">
        <v>412</v>
      </c>
      <c r="L414" s="8">
        <f t="shared" si="125"/>
        <v>4</v>
      </c>
      <c r="M414" s="8">
        <f t="shared" si="126"/>
        <v>0</v>
      </c>
      <c r="N414" s="8">
        <f t="shared" si="127"/>
        <v>0</v>
      </c>
      <c r="O414" s="8">
        <f t="shared" si="128"/>
        <v>0</v>
      </c>
      <c r="P414" s="8">
        <f t="shared" si="129"/>
        <v>0</v>
      </c>
      <c r="Q414" s="8">
        <f t="shared" si="130"/>
        <v>0</v>
      </c>
      <c r="R414" s="8">
        <f t="shared" si="131"/>
        <v>0</v>
      </c>
      <c r="S414" s="8">
        <f t="shared" si="132"/>
        <v>0</v>
      </c>
      <c r="T414" s="8">
        <f t="shared" si="133"/>
        <v>1</v>
      </c>
      <c r="V414" s="8">
        <f t="shared" si="134"/>
        <v>4</v>
      </c>
      <c r="W414">
        <f t="shared" si="135"/>
        <v>1</v>
      </c>
      <c r="Y414" t="str">
        <f t="shared" si="136"/>
        <v>joy</v>
      </c>
    </row>
    <row r="415" spans="2:25" x14ac:dyDescent="0.25">
      <c r="B415" s="5">
        <v>413</v>
      </c>
      <c r="C415" t="s">
        <v>3</v>
      </c>
      <c r="D415" t="s">
        <v>2</v>
      </c>
      <c r="E415" t="s">
        <v>2</v>
      </c>
      <c r="F415" t="s">
        <v>2</v>
      </c>
      <c r="G415" t="s">
        <v>2</v>
      </c>
      <c r="J415" s="19"/>
      <c r="K415" s="5">
        <v>413</v>
      </c>
      <c r="L415" s="8">
        <f t="shared" si="125"/>
        <v>1</v>
      </c>
      <c r="M415" s="8">
        <f t="shared" si="126"/>
        <v>0</v>
      </c>
      <c r="N415" s="8">
        <f t="shared" si="127"/>
        <v>0</v>
      </c>
      <c r="O415" s="8">
        <f t="shared" si="128"/>
        <v>0</v>
      </c>
      <c r="P415" s="8">
        <f t="shared" si="129"/>
        <v>0</v>
      </c>
      <c r="Q415" s="8">
        <f t="shared" si="130"/>
        <v>0</v>
      </c>
      <c r="R415" s="8">
        <f t="shared" si="131"/>
        <v>0</v>
      </c>
      <c r="S415" s="8">
        <f t="shared" si="132"/>
        <v>0</v>
      </c>
      <c r="T415" s="8">
        <f t="shared" si="133"/>
        <v>4</v>
      </c>
      <c r="V415" s="8">
        <f t="shared" si="134"/>
        <v>4</v>
      </c>
      <c r="W415">
        <f t="shared" si="135"/>
        <v>1</v>
      </c>
      <c r="Y415" t="str">
        <f t="shared" si="136"/>
        <v>AMBIGUOUS</v>
      </c>
    </row>
    <row r="416" spans="2:25" x14ac:dyDescent="0.25">
      <c r="B416" s="5">
        <v>414</v>
      </c>
      <c r="C416" t="s">
        <v>1</v>
      </c>
      <c r="D416" t="s">
        <v>1</v>
      </c>
      <c r="E416" t="s">
        <v>2</v>
      </c>
      <c r="F416" t="s">
        <v>1</v>
      </c>
      <c r="G416" t="s">
        <v>5</v>
      </c>
      <c r="J416" s="19">
        <v>1</v>
      </c>
      <c r="K416" s="5">
        <v>414</v>
      </c>
      <c r="L416" s="8">
        <f t="shared" si="125"/>
        <v>0</v>
      </c>
      <c r="M416" s="8">
        <f t="shared" si="126"/>
        <v>3</v>
      </c>
      <c r="N416" s="8">
        <f t="shared" si="127"/>
        <v>0</v>
      </c>
      <c r="O416" s="8">
        <f t="shared" si="128"/>
        <v>0</v>
      </c>
      <c r="P416" s="8">
        <f t="shared" si="129"/>
        <v>1</v>
      </c>
      <c r="Q416" s="8">
        <f t="shared" si="130"/>
        <v>0</v>
      </c>
      <c r="R416" s="8">
        <f t="shared" si="131"/>
        <v>0</v>
      </c>
      <c r="S416" s="8">
        <f t="shared" si="132"/>
        <v>0</v>
      </c>
      <c r="T416" s="8">
        <f t="shared" si="133"/>
        <v>1</v>
      </c>
      <c r="V416" s="8">
        <f t="shared" si="134"/>
        <v>3</v>
      </c>
      <c r="W416">
        <f t="shared" si="135"/>
        <v>1</v>
      </c>
      <c r="Y416" t="str">
        <f t="shared" si="136"/>
        <v>trust</v>
      </c>
    </row>
    <row r="417" spans="2:25" x14ac:dyDescent="0.25">
      <c r="B417" s="5">
        <v>415</v>
      </c>
      <c r="C417" t="s">
        <v>3</v>
      </c>
      <c r="D417" t="s">
        <v>2</v>
      </c>
      <c r="E417" t="s">
        <v>2</v>
      </c>
      <c r="F417" t="s">
        <v>2</v>
      </c>
      <c r="G417" t="s">
        <v>5</v>
      </c>
      <c r="J417" s="19">
        <v>1</v>
      </c>
      <c r="K417" s="5">
        <v>415</v>
      </c>
      <c r="L417" s="8">
        <f t="shared" si="125"/>
        <v>1</v>
      </c>
      <c r="M417" s="8">
        <f t="shared" si="126"/>
        <v>0</v>
      </c>
      <c r="N417" s="8">
        <f t="shared" si="127"/>
        <v>0</v>
      </c>
      <c r="O417" s="8">
        <f t="shared" si="128"/>
        <v>0</v>
      </c>
      <c r="P417" s="8">
        <f t="shared" si="129"/>
        <v>1</v>
      </c>
      <c r="Q417" s="8">
        <f t="shared" si="130"/>
        <v>0</v>
      </c>
      <c r="R417" s="8">
        <f t="shared" si="131"/>
        <v>0</v>
      </c>
      <c r="S417" s="8">
        <f t="shared" si="132"/>
        <v>0</v>
      </c>
      <c r="T417" s="8">
        <f t="shared" si="133"/>
        <v>3</v>
      </c>
      <c r="V417" s="8">
        <f t="shared" si="134"/>
        <v>3</v>
      </c>
      <c r="W417">
        <f t="shared" si="135"/>
        <v>1</v>
      </c>
      <c r="Y417" t="str">
        <f t="shared" si="136"/>
        <v>AMBIGUOUS</v>
      </c>
    </row>
    <row r="418" spans="2:25" x14ac:dyDescent="0.25">
      <c r="B418" s="5">
        <v>416</v>
      </c>
      <c r="C418" t="s">
        <v>1</v>
      </c>
      <c r="D418" t="s">
        <v>1</v>
      </c>
      <c r="E418" t="s">
        <v>2</v>
      </c>
      <c r="F418" t="s">
        <v>1</v>
      </c>
      <c r="G418" t="s">
        <v>5</v>
      </c>
      <c r="J418" s="19">
        <v>1</v>
      </c>
      <c r="K418" s="5">
        <v>416</v>
      </c>
      <c r="L418" s="8">
        <f t="shared" si="125"/>
        <v>0</v>
      </c>
      <c r="M418" s="8">
        <f t="shared" si="126"/>
        <v>3</v>
      </c>
      <c r="N418" s="8">
        <f t="shared" si="127"/>
        <v>0</v>
      </c>
      <c r="O418" s="8">
        <f t="shared" si="128"/>
        <v>0</v>
      </c>
      <c r="P418" s="8">
        <f t="shared" si="129"/>
        <v>1</v>
      </c>
      <c r="Q418" s="8">
        <f t="shared" si="130"/>
        <v>0</v>
      </c>
      <c r="R418" s="8">
        <f t="shared" si="131"/>
        <v>0</v>
      </c>
      <c r="S418" s="8">
        <f t="shared" si="132"/>
        <v>0</v>
      </c>
      <c r="T418" s="8">
        <f t="shared" si="133"/>
        <v>1</v>
      </c>
      <c r="V418" s="8">
        <f t="shared" si="134"/>
        <v>3</v>
      </c>
      <c r="W418">
        <f t="shared" si="135"/>
        <v>1</v>
      </c>
      <c r="Y418" t="str">
        <f t="shared" si="136"/>
        <v>trust</v>
      </c>
    </row>
    <row r="419" spans="2:25" x14ac:dyDescent="0.25">
      <c r="B419" s="5">
        <v>417</v>
      </c>
      <c r="C419" t="s">
        <v>1</v>
      </c>
      <c r="D419" t="s">
        <v>5</v>
      </c>
      <c r="E419" t="s">
        <v>2</v>
      </c>
      <c r="F419" t="s">
        <v>5</v>
      </c>
      <c r="G419" t="s">
        <v>5</v>
      </c>
      <c r="J419" s="19">
        <v>1</v>
      </c>
      <c r="K419" s="5">
        <v>417</v>
      </c>
      <c r="L419" s="8">
        <f t="shared" si="125"/>
        <v>0</v>
      </c>
      <c r="M419" s="8">
        <f t="shared" si="126"/>
        <v>1</v>
      </c>
      <c r="N419" s="8">
        <f t="shared" si="127"/>
        <v>0</v>
      </c>
      <c r="O419" s="8">
        <f t="shared" si="128"/>
        <v>0</v>
      </c>
      <c r="P419" s="8">
        <f t="shared" si="129"/>
        <v>3</v>
      </c>
      <c r="Q419" s="8">
        <f t="shared" si="130"/>
        <v>0</v>
      </c>
      <c r="R419" s="8">
        <f t="shared" si="131"/>
        <v>0</v>
      </c>
      <c r="S419" s="8">
        <f t="shared" si="132"/>
        <v>0</v>
      </c>
      <c r="T419" s="8">
        <f t="shared" si="133"/>
        <v>1</v>
      </c>
      <c r="V419" s="8">
        <f t="shared" si="134"/>
        <v>3</v>
      </c>
      <c r="W419">
        <f t="shared" si="135"/>
        <v>1</v>
      </c>
      <c r="Y419" t="str">
        <f t="shared" si="136"/>
        <v>sadness</v>
      </c>
    </row>
    <row r="420" spans="2:25" x14ac:dyDescent="0.25">
      <c r="B420" s="5">
        <v>418</v>
      </c>
      <c r="C420" t="s">
        <v>3</v>
      </c>
      <c r="D420" t="s">
        <v>5</v>
      </c>
      <c r="E420" t="s">
        <v>2</v>
      </c>
      <c r="F420" t="s">
        <v>5</v>
      </c>
      <c r="G420" t="s">
        <v>5</v>
      </c>
      <c r="J420" s="19">
        <v>1</v>
      </c>
      <c r="K420" s="5">
        <v>418</v>
      </c>
      <c r="L420" s="8">
        <f t="shared" si="125"/>
        <v>1</v>
      </c>
      <c r="M420" s="8">
        <f t="shared" si="126"/>
        <v>0</v>
      </c>
      <c r="N420" s="8">
        <f t="shared" si="127"/>
        <v>0</v>
      </c>
      <c r="O420" s="8">
        <f t="shared" si="128"/>
        <v>0</v>
      </c>
      <c r="P420" s="8">
        <f t="shared" si="129"/>
        <v>3</v>
      </c>
      <c r="Q420" s="8">
        <f t="shared" si="130"/>
        <v>0</v>
      </c>
      <c r="R420" s="8">
        <f t="shared" si="131"/>
        <v>0</v>
      </c>
      <c r="S420" s="8">
        <f t="shared" si="132"/>
        <v>0</v>
      </c>
      <c r="T420" s="8">
        <f t="shared" si="133"/>
        <v>1</v>
      </c>
      <c r="V420" s="8">
        <f t="shared" si="134"/>
        <v>3</v>
      </c>
      <c r="W420">
        <f t="shared" si="135"/>
        <v>1</v>
      </c>
      <c r="Y420" t="str">
        <f t="shared" si="136"/>
        <v>sadness</v>
      </c>
    </row>
    <row r="421" spans="2:25" x14ac:dyDescent="0.25">
      <c r="B421" s="5">
        <v>419</v>
      </c>
      <c r="C421" t="s">
        <v>3</v>
      </c>
      <c r="D421" t="s">
        <v>3</v>
      </c>
      <c r="E421" t="s">
        <v>3</v>
      </c>
      <c r="F421" t="s">
        <v>3</v>
      </c>
      <c r="G421" t="s">
        <v>5</v>
      </c>
      <c r="J421" s="19"/>
      <c r="K421" s="5">
        <v>419</v>
      </c>
      <c r="L421" s="8">
        <f t="shared" si="125"/>
        <v>4</v>
      </c>
      <c r="M421" s="8">
        <f t="shared" si="126"/>
        <v>0</v>
      </c>
      <c r="N421" s="8">
        <f t="shared" si="127"/>
        <v>0</v>
      </c>
      <c r="O421" s="8">
        <f t="shared" si="128"/>
        <v>0</v>
      </c>
      <c r="P421" s="8">
        <f t="shared" si="129"/>
        <v>1</v>
      </c>
      <c r="Q421" s="8">
        <f t="shared" si="130"/>
        <v>0</v>
      </c>
      <c r="R421" s="8">
        <f t="shared" si="131"/>
        <v>0</v>
      </c>
      <c r="S421" s="8">
        <f t="shared" si="132"/>
        <v>0</v>
      </c>
      <c r="T421" s="8">
        <f t="shared" si="133"/>
        <v>0</v>
      </c>
      <c r="V421" s="8">
        <f t="shared" si="134"/>
        <v>4</v>
      </c>
      <c r="W421">
        <f t="shared" si="135"/>
        <v>1</v>
      </c>
      <c r="Y421" t="str">
        <f t="shared" si="136"/>
        <v>joy</v>
      </c>
    </row>
    <row r="422" spans="2:25" x14ac:dyDescent="0.25">
      <c r="B422" s="5">
        <v>420</v>
      </c>
      <c r="C422" t="s">
        <v>3</v>
      </c>
      <c r="D422" t="s">
        <v>3</v>
      </c>
      <c r="E422" t="s">
        <v>3</v>
      </c>
      <c r="F422" t="s">
        <v>3</v>
      </c>
      <c r="G422" t="s">
        <v>7</v>
      </c>
      <c r="J422" s="19"/>
      <c r="K422" s="5">
        <v>420</v>
      </c>
      <c r="L422" s="8">
        <f t="shared" si="125"/>
        <v>4</v>
      </c>
      <c r="M422" s="8">
        <f t="shared" si="126"/>
        <v>0</v>
      </c>
      <c r="N422" s="8">
        <f t="shared" si="127"/>
        <v>0</v>
      </c>
      <c r="O422" s="8">
        <f t="shared" si="128"/>
        <v>1</v>
      </c>
      <c r="P422" s="8">
        <f t="shared" si="129"/>
        <v>0</v>
      </c>
      <c r="Q422" s="8">
        <f t="shared" si="130"/>
        <v>0</v>
      </c>
      <c r="R422" s="8">
        <f t="shared" si="131"/>
        <v>0</v>
      </c>
      <c r="S422" s="8">
        <f t="shared" si="132"/>
        <v>0</v>
      </c>
      <c r="T422" s="8">
        <f t="shared" si="133"/>
        <v>0</v>
      </c>
      <c r="V422" s="8">
        <f t="shared" si="134"/>
        <v>4</v>
      </c>
      <c r="W422">
        <f t="shared" si="135"/>
        <v>1</v>
      </c>
      <c r="Y422" t="str">
        <f t="shared" si="136"/>
        <v>joy</v>
      </c>
    </row>
    <row r="423" spans="2:25" x14ac:dyDescent="0.25">
      <c r="B423" s="5">
        <v>421</v>
      </c>
      <c r="C423" t="s">
        <v>3</v>
      </c>
      <c r="D423" t="s">
        <v>3</v>
      </c>
      <c r="E423" t="s">
        <v>3</v>
      </c>
      <c r="F423" t="s">
        <v>3</v>
      </c>
      <c r="G423" t="s">
        <v>7</v>
      </c>
      <c r="J423" s="19"/>
      <c r="K423" s="5">
        <v>421</v>
      </c>
      <c r="L423" s="8">
        <f t="shared" si="125"/>
        <v>4</v>
      </c>
      <c r="M423" s="8">
        <f t="shared" si="126"/>
        <v>0</v>
      </c>
      <c r="N423" s="8">
        <f t="shared" si="127"/>
        <v>0</v>
      </c>
      <c r="O423" s="8">
        <f t="shared" si="128"/>
        <v>1</v>
      </c>
      <c r="P423" s="8">
        <f t="shared" si="129"/>
        <v>0</v>
      </c>
      <c r="Q423" s="8">
        <f t="shared" si="130"/>
        <v>0</v>
      </c>
      <c r="R423" s="8">
        <f t="shared" si="131"/>
        <v>0</v>
      </c>
      <c r="S423" s="8">
        <f t="shared" si="132"/>
        <v>0</v>
      </c>
      <c r="T423" s="8">
        <f t="shared" si="133"/>
        <v>0</v>
      </c>
      <c r="V423" s="8">
        <f t="shared" si="134"/>
        <v>4</v>
      </c>
      <c r="W423">
        <f t="shared" si="135"/>
        <v>1</v>
      </c>
      <c r="Y423" t="str">
        <f t="shared" si="136"/>
        <v>joy</v>
      </c>
    </row>
    <row r="424" spans="2:25" x14ac:dyDescent="0.25">
      <c r="B424" s="5">
        <v>422</v>
      </c>
      <c r="C424" t="s">
        <v>3</v>
      </c>
      <c r="D424" t="s">
        <v>3</v>
      </c>
      <c r="E424" t="s">
        <v>3</v>
      </c>
      <c r="F424" t="s">
        <v>3</v>
      </c>
      <c r="G424" t="s">
        <v>7</v>
      </c>
      <c r="J424" s="19"/>
      <c r="K424" s="5">
        <v>422</v>
      </c>
      <c r="L424" s="8">
        <f t="shared" si="125"/>
        <v>4</v>
      </c>
      <c r="M424" s="8">
        <f t="shared" si="126"/>
        <v>0</v>
      </c>
      <c r="N424" s="8">
        <f t="shared" si="127"/>
        <v>0</v>
      </c>
      <c r="O424" s="8">
        <f t="shared" si="128"/>
        <v>1</v>
      </c>
      <c r="P424" s="8">
        <f t="shared" si="129"/>
        <v>0</v>
      </c>
      <c r="Q424" s="8">
        <f t="shared" si="130"/>
        <v>0</v>
      </c>
      <c r="R424" s="8">
        <f t="shared" si="131"/>
        <v>0</v>
      </c>
      <c r="S424" s="8">
        <f t="shared" si="132"/>
        <v>0</v>
      </c>
      <c r="T424" s="8">
        <f t="shared" si="133"/>
        <v>0</v>
      </c>
      <c r="V424" s="8">
        <f t="shared" si="134"/>
        <v>4</v>
      </c>
      <c r="W424">
        <f t="shared" si="135"/>
        <v>1</v>
      </c>
      <c r="Y424" t="str">
        <f t="shared" si="136"/>
        <v>joy</v>
      </c>
    </row>
    <row r="425" spans="2:25" x14ac:dyDescent="0.25">
      <c r="B425" s="5">
        <v>423</v>
      </c>
      <c r="C425" t="s">
        <v>3</v>
      </c>
      <c r="D425" t="s">
        <v>3</v>
      </c>
      <c r="E425" t="s">
        <v>3</v>
      </c>
      <c r="F425" t="s">
        <v>3</v>
      </c>
      <c r="G425" t="s">
        <v>7</v>
      </c>
      <c r="J425" s="19"/>
      <c r="K425" s="5">
        <v>423</v>
      </c>
      <c r="L425" s="8">
        <f t="shared" si="125"/>
        <v>4</v>
      </c>
      <c r="M425" s="8">
        <f t="shared" si="126"/>
        <v>0</v>
      </c>
      <c r="N425" s="8">
        <f t="shared" si="127"/>
        <v>0</v>
      </c>
      <c r="O425" s="8">
        <f t="shared" si="128"/>
        <v>1</v>
      </c>
      <c r="P425" s="8">
        <f t="shared" si="129"/>
        <v>0</v>
      </c>
      <c r="Q425" s="8">
        <f t="shared" si="130"/>
        <v>0</v>
      </c>
      <c r="R425" s="8">
        <f t="shared" si="131"/>
        <v>0</v>
      </c>
      <c r="S425" s="8">
        <f t="shared" si="132"/>
        <v>0</v>
      </c>
      <c r="T425" s="8">
        <f t="shared" si="133"/>
        <v>0</v>
      </c>
      <c r="V425" s="8">
        <f t="shared" si="134"/>
        <v>4</v>
      </c>
      <c r="W425">
        <f t="shared" si="135"/>
        <v>1</v>
      </c>
      <c r="Y425" t="str">
        <f t="shared" si="136"/>
        <v>joy</v>
      </c>
    </row>
    <row r="426" spans="2:25" x14ac:dyDescent="0.25">
      <c r="B426" s="5">
        <v>424</v>
      </c>
      <c r="C426" t="s">
        <v>1</v>
      </c>
      <c r="D426" t="s">
        <v>7</v>
      </c>
      <c r="E426" t="s">
        <v>3</v>
      </c>
      <c r="F426" t="s">
        <v>7</v>
      </c>
      <c r="G426" t="s">
        <v>7</v>
      </c>
      <c r="J426" s="19">
        <v>1</v>
      </c>
      <c r="K426" s="5">
        <v>424</v>
      </c>
      <c r="L426" s="8">
        <f t="shared" si="125"/>
        <v>1</v>
      </c>
      <c r="M426" s="8">
        <f t="shared" si="126"/>
        <v>1</v>
      </c>
      <c r="N426" s="8">
        <f t="shared" si="127"/>
        <v>0</v>
      </c>
      <c r="O426" s="8">
        <f t="shared" si="128"/>
        <v>3</v>
      </c>
      <c r="P426" s="8">
        <f t="shared" si="129"/>
        <v>0</v>
      </c>
      <c r="Q426" s="8">
        <f t="shared" si="130"/>
        <v>0</v>
      </c>
      <c r="R426" s="8">
        <f t="shared" si="131"/>
        <v>0</v>
      </c>
      <c r="S426" s="8">
        <f t="shared" si="132"/>
        <v>0</v>
      </c>
      <c r="T426" s="8">
        <f t="shared" si="133"/>
        <v>0</v>
      </c>
      <c r="V426" s="8">
        <f t="shared" si="134"/>
        <v>3</v>
      </c>
      <c r="W426">
        <f t="shared" si="135"/>
        <v>1</v>
      </c>
      <c r="Y426" t="str">
        <f t="shared" si="136"/>
        <v>surprise</v>
      </c>
    </row>
    <row r="427" spans="2:25" x14ac:dyDescent="0.25">
      <c r="B427" s="5">
        <v>425</v>
      </c>
      <c r="C427" t="s">
        <v>3</v>
      </c>
      <c r="D427" t="s">
        <v>3</v>
      </c>
      <c r="E427" t="s">
        <v>3</v>
      </c>
      <c r="F427" t="s">
        <v>3</v>
      </c>
      <c r="G427" t="s">
        <v>7</v>
      </c>
      <c r="J427" s="19"/>
      <c r="K427" s="5">
        <v>425</v>
      </c>
      <c r="L427" s="8">
        <f t="shared" si="125"/>
        <v>4</v>
      </c>
      <c r="M427" s="8">
        <f t="shared" si="126"/>
        <v>0</v>
      </c>
      <c r="N427" s="8">
        <f t="shared" si="127"/>
        <v>0</v>
      </c>
      <c r="O427" s="8">
        <f t="shared" si="128"/>
        <v>1</v>
      </c>
      <c r="P427" s="8">
        <f t="shared" si="129"/>
        <v>0</v>
      </c>
      <c r="Q427" s="8">
        <f t="shared" si="130"/>
        <v>0</v>
      </c>
      <c r="R427" s="8">
        <f t="shared" si="131"/>
        <v>0</v>
      </c>
      <c r="S427" s="8">
        <f t="shared" si="132"/>
        <v>0</v>
      </c>
      <c r="T427" s="8">
        <f t="shared" si="133"/>
        <v>0</v>
      </c>
      <c r="V427" s="8">
        <f t="shared" si="134"/>
        <v>4</v>
      </c>
      <c r="W427">
        <f t="shared" si="135"/>
        <v>1</v>
      </c>
      <c r="Y427" t="str">
        <f t="shared" si="136"/>
        <v>joy</v>
      </c>
    </row>
    <row r="428" spans="2:25" x14ac:dyDescent="0.25">
      <c r="B428" s="5">
        <v>426</v>
      </c>
      <c r="C428" t="s">
        <v>1</v>
      </c>
      <c r="D428" t="s">
        <v>3</v>
      </c>
      <c r="E428" t="s">
        <v>3</v>
      </c>
      <c r="F428" t="s">
        <v>3</v>
      </c>
      <c r="G428" t="s">
        <v>8</v>
      </c>
      <c r="J428" s="19">
        <v>1</v>
      </c>
      <c r="K428" s="5">
        <v>426</v>
      </c>
      <c r="L428" s="8">
        <f t="shared" si="125"/>
        <v>3</v>
      </c>
      <c r="M428" s="8">
        <f t="shared" si="126"/>
        <v>1</v>
      </c>
      <c r="N428" s="8">
        <f t="shared" si="127"/>
        <v>0</v>
      </c>
      <c r="O428" s="8">
        <f t="shared" si="128"/>
        <v>0</v>
      </c>
      <c r="P428" s="8">
        <f t="shared" si="129"/>
        <v>0</v>
      </c>
      <c r="Q428" s="8">
        <f t="shared" si="130"/>
        <v>0</v>
      </c>
      <c r="R428" s="8">
        <f t="shared" si="131"/>
        <v>0</v>
      </c>
      <c r="S428" s="8">
        <f t="shared" si="132"/>
        <v>1</v>
      </c>
      <c r="T428" s="8">
        <f t="shared" si="133"/>
        <v>0</v>
      </c>
      <c r="V428" s="8">
        <f t="shared" si="134"/>
        <v>3</v>
      </c>
      <c r="W428">
        <f t="shared" si="135"/>
        <v>1</v>
      </c>
      <c r="Y428" t="str">
        <f t="shared" si="136"/>
        <v>joy</v>
      </c>
    </row>
    <row r="429" spans="2:25" x14ac:dyDescent="0.25">
      <c r="B429" s="5">
        <v>427</v>
      </c>
      <c r="C429" t="s">
        <v>1</v>
      </c>
      <c r="D429" t="s">
        <v>2</v>
      </c>
      <c r="E429" t="s">
        <v>2</v>
      </c>
      <c r="F429" t="s">
        <v>2</v>
      </c>
      <c r="G429" t="s">
        <v>6</v>
      </c>
      <c r="J429" s="19">
        <v>1</v>
      </c>
      <c r="K429" s="5">
        <v>427</v>
      </c>
      <c r="L429" s="8">
        <f t="shared" si="125"/>
        <v>0</v>
      </c>
      <c r="M429" s="8">
        <f t="shared" si="126"/>
        <v>1</v>
      </c>
      <c r="N429" s="8">
        <f t="shared" si="127"/>
        <v>1</v>
      </c>
      <c r="O429" s="8">
        <f t="shared" si="128"/>
        <v>0</v>
      </c>
      <c r="P429" s="8">
        <f t="shared" si="129"/>
        <v>0</v>
      </c>
      <c r="Q429" s="8">
        <f t="shared" si="130"/>
        <v>0</v>
      </c>
      <c r="R429" s="8">
        <f t="shared" si="131"/>
        <v>0</v>
      </c>
      <c r="S429" s="8">
        <f t="shared" si="132"/>
        <v>0</v>
      </c>
      <c r="T429" s="8">
        <f t="shared" si="133"/>
        <v>3</v>
      </c>
      <c r="V429" s="8">
        <f t="shared" si="134"/>
        <v>3</v>
      </c>
      <c r="W429">
        <f t="shared" si="135"/>
        <v>1</v>
      </c>
      <c r="Y429" t="str">
        <f t="shared" si="136"/>
        <v>AMBIGUOUS</v>
      </c>
    </row>
    <row r="430" spans="2:25" x14ac:dyDescent="0.25">
      <c r="B430" s="5">
        <v>428</v>
      </c>
      <c r="C430" t="s">
        <v>1</v>
      </c>
      <c r="D430" t="s">
        <v>6</v>
      </c>
      <c r="E430" t="s">
        <v>2</v>
      </c>
      <c r="F430" t="s">
        <v>6</v>
      </c>
      <c r="G430" t="s">
        <v>6</v>
      </c>
      <c r="J430" s="19">
        <v>1</v>
      </c>
      <c r="K430" s="5">
        <v>428</v>
      </c>
      <c r="L430" s="8">
        <f t="shared" si="125"/>
        <v>0</v>
      </c>
      <c r="M430" s="8">
        <f t="shared" si="126"/>
        <v>1</v>
      </c>
      <c r="N430" s="8">
        <f t="shared" si="127"/>
        <v>3</v>
      </c>
      <c r="O430" s="8">
        <f t="shared" si="128"/>
        <v>0</v>
      </c>
      <c r="P430" s="8">
        <f t="shared" si="129"/>
        <v>0</v>
      </c>
      <c r="Q430" s="8">
        <f t="shared" si="130"/>
        <v>0</v>
      </c>
      <c r="R430" s="8">
        <f t="shared" si="131"/>
        <v>0</v>
      </c>
      <c r="S430" s="8">
        <f t="shared" si="132"/>
        <v>0</v>
      </c>
      <c r="T430" s="8">
        <f t="shared" si="133"/>
        <v>1</v>
      </c>
      <c r="V430" s="8">
        <f t="shared" si="134"/>
        <v>3</v>
      </c>
      <c r="W430">
        <f t="shared" si="135"/>
        <v>1</v>
      </c>
      <c r="Y430" t="str">
        <f t="shared" si="136"/>
        <v>fear</v>
      </c>
    </row>
    <row r="431" spans="2:25" x14ac:dyDescent="0.25">
      <c r="B431" s="5">
        <v>429</v>
      </c>
      <c r="C431" t="s">
        <v>1</v>
      </c>
      <c r="D431" t="s">
        <v>2</v>
      </c>
      <c r="E431" t="s">
        <v>2</v>
      </c>
      <c r="F431" t="s">
        <v>2</v>
      </c>
      <c r="G431" t="s">
        <v>6</v>
      </c>
      <c r="J431" s="19">
        <v>1</v>
      </c>
      <c r="K431" s="5">
        <v>429</v>
      </c>
      <c r="L431" s="8">
        <f t="shared" si="125"/>
        <v>0</v>
      </c>
      <c r="M431" s="8">
        <f t="shared" si="126"/>
        <v>1</v>
      </c>
      <c r="N431" s="8">
        <f t="shared" si="127"/>
        <v>1</v>
      </c>
      <c r="O431" s="8">
        <f t="shared" si="128"/>
        <v>0</v>
      </c>
      <c r="P431" s="8">
        <f t="shared" si="129"/>
        <v>0</v>
      </c>
      <c r="Q431" s="8">
        <f t="shared" si="130"/>
        <v>0</v>
      </c>
      <c r="R431" s="8">
        <f t="shared" si="131"/>
        <v>0</v>
      </c>
      <c r="S431" s="8">
        <f t="shared" si="132"/>
        <v>0</v>
      </c>
      <c r="T431" s="8">
        <f t="shared" si="133"/>
        <v>3</v>
      </c>
      <c r="V431" s="8">
        <f t="shared" si="134"/>
        <v>3</v>
      </c>
      <c r="W431">
        <f t="shared" si="135"/>
        <v>1</v>
      </c>
      <c r="Y431" t="str">
        <f t="shared" si="136"/>
        <v>AMBIGUOUS</v>
      </c>
    </row>
    <row r="432" spans="2:25" x14ac:dyDescent="0.25">
      <c r="B432" s="5">
        <v>430</v>
      </c>
      <c r="C432" t="s">
        <v>3</v>
      </c>
      <c r="D432" t="s">
        <v>3</v>
      </c>
      <c r="E432" t="s">
        <v>3</v>
      </c>
      <c r="F432" t="s">
        <v>3</v>
      </c>
      <c r="G432" t="s">
        <v>8</v>
      </c>
      <c r="J432" s="19"/>
      <c r="K432" s="5">
        <v>430</v>
      </c>
      <c r="L432" s="8">
        <f t="shared" si="125"/>
        <v>4</v>
      </c>
      <c r="M432" s="8">
        <f t="shared" si="126"/>
        <v>0</v>
      </c>
      <c r="N432" s="8">
        <f t="shared" si="127"/>
        <v>0</v>
      </c>
      <c r="O432" s="8">
        <f t="shared" si="128"/>
        <v>0</v>
      </c>
      <c r="P432" s="8">
        <f t="shared" si="129"/>
        <v>0</v>
      </c>
      <c r="Q432" s="8">
        <f t="shared" si="130"/>
        <v>0</v>
      </c>
      <c r="R432" s="8">
        <f t="shared" si="131"/>
        <v>0</v>
      </c>
      <c r="S432" s="8">
        <f t="shared" si="132"/>
        <v>1</v>
      </c>
      <c r="T432" s="8">
        <f t="shared" si="133"/>
        <v>0</v>
      </c>
      <c r="V432" s="8">
        <f t="shared" si="134"/>
        <v>4</v>
      </c>
      <c r="W432">
        <f t="shared" si="135"/>
        <v>1</v>
      </c>
      <c r="Y432" t="str">
        <f t="shared" si="136"/>
        <v>joy</v>
      </c>
    </row>
    <row r="433" spans="2:25" x14ac:dyDescent="0.25">
      <c r="B433" s="5">
        <v>431</v>
      </c>
      <c r="C433" t="s">
        <v>1</v>
      </c>
      <c r="D433" t="s">
        <v>1</v>
      </c>
      <c r="E433" t="s">
        <v>2</v>
      </c>
      <c r="F433" t="s">
        <v>1</v>
      </c>
      <c r="G433" t="s">
        <v>1</v>
      </c>
      <c r="J433" s="19"/>
      <c r="K433" s="5">
        <v>431</v>
      </c>
      <c r="L433" s="8">
        <f t="shared" si="125"/>
        <v>0</v>
      </c>
      <c r="M433" s="8">
        <f t="shared" si="126"/>
        <v>4</v>
      </c>
      <c r="N433" s="8">
        <f t="shared" si="127"/>
        <v>0</v>
      </c>
      <c r="O433" s="8">
        <f t="shared" si="128"/>
        <v>0</v>
      </c>
      <c r="P433" s="8">
        <f t="shared" si="129"/>
        <v>0</v>
      </c>
      <c r="Q433" s="8">
        <f t="shared" si="130"/>
        <v>0</v>
      </c>
      <c r="R433" s="8">
        <f t="shared" si="131"/>
        <v>0</v>
      </c>
      <c r="S433" s="8">
        <f t="shared" si="132"/>
        <v>0</v>
      </c>
      <c r="T433" s="8">
        <f t="shared" si="133"/>
        <v>1</v>
      </c>
      <c r="V433" s="8">
        <f t="shared" si="134"/>
        <v>4</v>
      </c>
      <c r="W433">
        <f t="shared" si="135"/>
        <v>1</v>
      </c>
      <c r="Y433" t="str">
        <f t="shared" si="136"/>
        <v>trust</v>
      </c>
    </row>
    <row r="434" spans="2:25" x14ac:dyDescent="0.25">
      <c r="B434" s="5">
        <v>432</v>
      </c>
      <c r="C434" t="s">
        <v>1</v>
      </c>
      <c r="D434" t="s">
        <v>1</v>
      </c>
      <c r="E434" t="s">
        <v>1</v>
      </c>
      <c r="F434" t="s">
        <v>1</v>
      </c>
      <c r="G434" t="s">
        <v>1</v>
      </c>
      <c r="J434" s="19"/>
      <c r="K434" s="5">
        <v>432</v>
      </c>
      <c r="L434" s="8">
        <f t="shared" si="125"/>
        <v>0</v>
      </c>
      <c r="M434" s="8">
        <f t="shared" si="126"/>
        <v>5</v>
      </c>
      <c r="N434" s="8">
        <f t="shared" si="127"/>
        <v>0</v>
      </c>
      <c r="O434" s="8">
        <f t="shared" si="128"/>
        <v>0</v>
      </c>
      <c r="P434" s="8">
        <f t="shared" si="129"/>
        <v>0</v>
      </c>
      <c r="Q434" s="8">
        <f t="shared" si="130"/>
        <v>0</v>
      </c>
      <c r="R434" s="8">
        <f t="shared" si="131"/>
        <v>0</v>
      </c>
      <c r="S434" s="8">
        <f t="shared" si="132"/>
        <v>0</v>
      </c>
      <c r="T434" s="8">
        <f t="shared" si="133"/>
        <v>0</v>
      </c>
      <c r="V434" s="8">
        <f t="shared" si="134"/>
        <v>5</v>
      </c>
      <c r="W434">
        <f t="shared" si="135"/>
        <v>1</v>
      </c>
      <c r="Y434" t="str">
        <f t="shared" si="136"/>
        <v>trust</v>
      </c>
    </row>
    <row r="435" spans="2:25" x14ac:dyDescent="0.25">
      <c r="B435" s="5">
        <v>433</v>
      </c>
      <c r="C435" t="s">
        <v>3</v>
      </c>
      <c r="D435" t="s">
        <v>3</v>
      </c>
      <c r="E435" t="s">
        <v>3</v>
      </c>
      <c r="F435" t="s">
        <v>3</v>
      </c>
      <c r="G435" t="s">
        <v>5</v>
      </c>
      <c r="J435" s="19"/>
      <c r="K435" s="5">
        <v>433</v>
      </c>
      <c r="L435" s="8">
        <f t="shared" si="125"/>
        <v>4</v>
      </c>
      <c r="M435" s="8">
        <f t="shared" si="126"/>
        <v>0</v>
      </c>
      <c r="N435" s="8">
        <f t="shared" si="127"/>
        <v>0</v>
      </c>
      <c r="O435" s="8">
        <f t="shared" si="128"/>
        <v>0</v>
      </c>
      <c r="P435" s="8">
        <f t="shared" si="129"/>
        <v>1</v>
      </c>
      <c r="Q435" s="8">
        <f t="shared" si="130"/>
        <v>0</v>
      </c>
      <c r="R435" s="8">
        <f t="shared" si="131"/>
        <v>0</v>
      </c>
      <c r="S435" s="8">
        <f t="shared" si="132"/>
        <v>0</v>
      </c>
      <c r="T435" s="8">
        <f t="shared" si="133"/>
        <v>0</v>
      </c>
      <c r="V435" s="8">
        <f t="shared" si="134"/>
        <v>4</v>
      </c>
      <c r="W435">
        <f t="shared" si="135"/>
        <v>1</v>
      </c>
      <c r="Y435" t="str">
        <f t="shared" si="136"/>
        <v>joy</v>
      </c>
    </row>
    <row r="436" spans="2:25" x14ac:dyDescent="0.25">
      <c r="B436" s="5">
        <v>434</v>
      </c>
      <c r="C436" t="s">
        <v>1</v>
      </c>
      <c r="D436" t="s">
        <v>1</v>
      </c>
      <c r="E436" t="s">
        <v>2</v>
      </c>
      <c r="F436" t="s">
        <v>1</v>
      </c>
      <c r="G436" t="s">
        <v>1</v>
      </c>
      <c r="J436" s="19"/>
      <c r="K436" s="5">
        <v>434</v>
      </c>
      <c r="L436" s="8">
        <f t="shared" si="125"/>
        <v>0</v>
      </c>
      <c r="M436" s="8">
        <f t="shared" si="126"/>
        <v>4</v>
      </c>
      <c r="N436" s="8">
        <f t="shared" si="127"/>
        <v>0</v>
      </c>
      <c r="O436" s="8">
        <f t="shared" si="128"/>
        <v>0</v>
      </c>
      <c r="P436" s="8">
        <f t="shared" si="129"/>
        <v>0</v>
      </c>
      <c r="Q436" s="8">
        <f t="shared" si="130"/>
        <v>0</v>
      </c>
      <c r="R436" s="8">
        <f t="shared" si="131"/>
        <v>0</v>
      </c>
      <c r="S436" s="8">
        <f t="shared" si="132"/>
        <v>0</v>
      </c>
      <c r="T436" s="8">
        <f t="shared" si="133"/>
        <v>1</v>
      </c>
      <c r="V436" s="8">
        <f t="shared" si="134"/>
        <v>4</v>
      </c>
      <c r="W436">
        <f t="shared" si="135"/>
        <v>1</v>
      </c>
      <c r="Y436" t="str">
        <f t="shared" si="136"/>
        <v>trust</v>
      </c>
    </row>
    <row r="437" spans="2:25" x14ac:dyDescent="0.25">
      <c r="B437" s="5">
        <v>435</v>
      </c>
      <c r="C437" t="s">
        <v>6</v>
      </c>
      <c r="D437" t="s">
        <v>1</v>
      </c>
      <c r="E437" t="s">
        <v>2</v>
      </c>
      <c r="F437" t="s">
        <v>1</v>
      </c>
      <c r="G437" t="s">
        <v>1</v>
      </c>
      <c r="J437" s="19">
        <v>1</v>
      </c>
      <c r="K437" s="5">
        <v>435</v>
      </c>
      <c r="L437" s="8">
        <f t="shared" si="125"/>
        <v>0</v>
      </c>
      <c r="M437" s="8">
        <f t="shared" si="126"/>
        <v>3</v>
      </c>
      <c r="N437" s="8">
        <f t="shared" si="127"/>
        <v>1</v>
      </c>
      <c r="O437" s="8">
        <f t="shared" si="128"/>
        <v>0</v>
      </c>
      <c r="P437" s="8">
        <f t="shared" si="129"/>
        <v>0</v>
      </c>
      <c r="Q437" s="8">
        <f t="shared" si="130"/>
        <v>0</v>
      </c>
      <c r="R437" s="8">
        <f t="shared" si="131"/>
        <v>0</v>
      </c>
      <c r="S437" s="8">
        <f t="shared" si="132"/>
        <v>0</v>
      </c>
      <c r="T437" s="8">
        <f t="shared" si="133"/>
        <v>1</v>
      </c>
      <c r="V437" s="8">
        <f t="shared" si="134"/>
        <v>3</v>
      </c>
      <c r="W437">
        <f t="shared" si="135"/>
        <v>1</v>
      </c>
      <c r="Y437" t="str">
        <f t="shared" si="136"/>
        <v>trust</v>
      </c>
    </row>
    <row r="438" spans="2:25" x14ac:dyDescent="0.25">
      <c r="B438" s="5">
        <v>436</v>
      </c>
      <c r="C438" t="s">
        <v>6</v>
      </c>
      <c r="D438" t="s">
        <v>3</v>
      </c>
      <c r="E438" t="s">
        <v>3</v>
      </c>
      <c r="F438" t="s">
        <v>3</v>
      </c>
      <c r="G438" t="s">
        <v>3</v>
      </c>
      <c r="J438" s="19"/>
      <c r="K438" s="5">
        <v>436</v>
      </c>
      <c r="L438" s="8">
        <f t="shared" si="125"/>
        <v>4</v>
      </c>
      <c r="M438" s="8">
        <f t="shared" si="126"/>
        <v>0</v>
      </c>
      <c r="N438" s="8">
        <f t="shared" si="127"/>
        <v>1</v>
      </c>
      <c r="O438" s="8">
        <f t="shared" si="128"/>
        <v>0</v>
      </c>
      <c r="P438" s="8">
        <f t="shared" si="129"/>
        <v>0</v>
      </c>
      <c r="Q438" s="8">
        <f t="shared" si="130"/>
        <v>0</v>
      </c>
      <c r="R438" s="8">
        <f t="shared" si="131"/>
        <v>0</v>
      </c>
      <c r="S438" s="8">
        <f t="shared" si="132"/>
        <v>0</v>
      </c>
      <c r="T438" s="8">
        <f t="shared" si="133"/>
        <v>0</v>
      </c>
      <c r="V438" s="8">
        <f t="shared" si="134"/>
        <v>4</v>
      </c>
      <c r="W438">
        <f t="shared" si="135"/>
        <v>1</v>
      </c>
      <c r="Y438" t="str">
        <f t="shared" si="136"/>
        <v>joy</v>
      </c>
    </row>
    <row r="439" spans="2:25" x14ac:dyDescent="0.25">
      <c r="B439" s="5">
        <v>437</v>
      </c>
      <c r="C439" t="s">
        <v>3</v>
      </c>
      <c r="D439" t="s">
        <v>3</v>
      </c>
      <c r="E439" t="s">
        <v>3</v>
      </c>
      <c r="F439" t="s">
        <v>3</v>
      </c>
      <c r="G439" t="s">
        <v>3</v>
      </c>
      <c r="J439" s="19"/>
      <c r="K439" s="5">
        <v>437</v>
      </c>
      <c r="L439" s="8">
        <f t="shared" si="125"/>
        <v>5</v>
      </c>
      <c r="M439" s="8">
        <f t="shared" si="126"/>
        <v>0</v>
      </c>
      <c r="N439" s="8">
        <f t="shared" si="127"/>
        <v>0</v>
      </c>
      <c r="O439" s="8">
        <f t="shared" si="128"/>
        <v>0</v>
      </c>
      <c r="P439" s="8">
        <f t="shared" si="129"/>
        <v>0</v>
      </c>
      <c r="Q439" s="8">
        <f t="shared" si="130"/>
        <v>0</v>
      </c>
      <c r="R439" s="8">
        <f t="shared" si="131"/>
        <v>0</v>
      </c>
      <c r="S439" s="8">
        <f t="shared" si="132"/>
        <v>0</v>
      </c>
      <c r="T439" s="8">
        <f t="shared" si="133"/>
        <v>0</v>
      </c>
      <c r="V439" s="8">
        <f t="shared" si="134"/>
        <v>5</v>
      </c>
      <c r="W439">
        <f t="shared" si="135"/>
        <v>1</v>
      </c>
      <c r="Y439" t="str">
        <f t="shared" si="136"/>
        <v>joy</v>
      </c>
    </row>
    <row r="440" spans="2:25" x14ac:dyDescent="0.25">
      <c r="B440" s="5">
        <v>438</v>
      </c>
      <c r="C440" t="s">
        <v>6</v>
      </c>
      <c r="D440" t="s">
        <v>6</v>
      </c>
      <c r="E440" t="s">
        <v>3</v>
      </c>
      <c r="F440" t="s">
        <v>6</v>
      </c>
      <c r="G440" t="s">
        <v>2</v>
      </c>
      <c r="J440" s="19">
        <v>1</v>
      </c>
      <c r="K440" s="5">
        <v>438</v>
      </c>
      <c r="L440" s="8">
        <f t="shared" si="125"/>
        <v>1</v>
      </c>
      <c r="M440" s="8">
        <f t="shared" si="126"/>
        <v>0</v>
      </c>
      <c r="N440" s="8">
        <f t="shared" si="127"/>
        <v>3</v>
      </c>
      <c r="O440" s="8">
        <f t="shared" si="128"/>
        <v>0</v>
      </c>
      <c r="P440" s="8">
        <f t="shared" si="129"/>
        <v>0</v>
      </c>
      <c r="Q440" s="8">
        <f t="shared" si="130"/>
        <v>0</v>
      </c>
      <c r="R440" s="8">
        <f t="shared" si="131"/>
        <v>0</v>
      </c>
      <c r="S440" s="8">
        <f t="shared" si="132"/>
        <v>0</v>
      </c>
      <c r="T440" s="8">
        <f t="shared" si="133"/>
        <v>1</v>
      </c>
      <c r="V440" s="8">
        <f t="shared" si="134"/>
        <v>3</v>
      </c>
      <c r="W440">
        <f t="shared" si="135"/>
        <v>1</v>
      </c>
      <c r="Y440" t="str">
        <f t="shared" si="136"/>
        <v>fear</v>
      </c>
    </row>
    <row r="441" spans="2:25" x14ac:dyDescent="0.25">
      <c r="B441" s="5">
        <v>439</v>
      </c>
      <c r="C441" t="s">
        <v>6</v>
      </c>
      <c r="D441" t="s">
        <v>5</v>
      </c>
      <c r="E441" t="s">
        <v>5</v>
      </c>
      <c r="F441" t="s">
        <v>5</v>
      </c>
      <c r="G441" t="s">
        <v>2</v>
      </c>
      <c r="J441" s="19">
        <v>1</v>
      </c>
      <c r="K441" s="5">
        <v>439</v>
      </c>
      <c r="L441" s="8">
        <f t="shared" ref="L441:L504" si="137">COUNTIFS(C441:G441, "joy")</f>
        <v>0</v>
      </c>
      <c r="M441" s="8">
        <f t="shared" ref="M441:M504" si="138">COUNTIFS(C441:G441, "trust")</f>
        <v>0</v>
      </c>
      <c r="N441" s="8">
        <f t="shared" ref="N441:N504" si="139">COUNTIFS(C441:G441, "fear")</f>
        <v>1</v>
      </c>
      <c r="O441" s="8">
        <f t="shared" ref="O441:O504" si="140">COUNTIFS(C441:G441, "surprise")</f>
        <v>0</v>
      </c>
      <c r="P441" s="8">
        <f t="shared" ref="P441:P504" si="141">COUNTIFS(C441:G441, "sadness")</f>
        <v>3</v>
      </c>
      <c r="Q441" s="8">
        <f t="shared" ref="Q441:Q504" si="142">COUNTIFS(C441:G441, "disgust")</f>
        <v>0</v>
      </c>
      <c r="R441" s="8">
        <f t="shared" ref="R441:R504" si="143">COUNTIFS(C441:G441, "anger")</f>
        <v>0</v>
      </c>
      <c r="S441" s="8">
        <f t="shared" ref="S441:S504" si="144">COUNTIFS(C441:G441, "anticipation")</f>
        <v>0</v>
      </c>
      <c r="T441" s="8">
        <f t="shared" ref="T441:T504" si="145">COUNTIFS(C441:G441, "AMBIGUOUS")</f>
        <v>1</v>
      </c>
      <c r="V441" s="8">
        <f t="shared" si="134"/>
        <v>3</v>
      </c>
      <c r="W441">
        <f t="shared" si="135"/>
        <v>1</v>
      </c>
      <c r="Y441" t="str">
        <f t="shared" si="136"/>
        <v>sadness</v>
      </c>
    </row>
    <row r="442" spans="2:25" x14ac:dyDescent="0.25">
      <c r="B442" s="5">
        <v>440</v>
      </c>
      <c r="C442" t="s">
        <v>3</v>
      </c>
      <c r="D442" t="s">
        <v>5</v>
      </c>
      <c r="E442" t="s">
        <v>5</v>
      </c>
      <c r="F442" t="s">
        <v>5</v>
      </c>
      <c r="G442" t="s">
        <v>1</v>
      </c>
      <c r="J442" s="19">
        <v>1</v>
      </c>
      <c r="K442" s="5">
        <v>440</v>
      </c>
      <c r="L442" s="8">
        <f t="shared" si="137"/>
        <v>1</v>
      </c>
      <c r="M442" s="8">
        <f t="shared" si="138"/>
        <v>1</v>
      </c>
      <c r="N442" s="8">
        <f t="shared" si="139"/>
        <v>0</v>
      </c>
      <c r="O442" s="8">
        <f t="shared" si="140"/>
        <v>0</v>
      </c>
      <c r="P442" s="8">
        <f t="shared" si="141"/>
        <v>3</v>
      </c>
      <c r="Q442" s="8">
        <f t="shared" si="142"/>
        <v>0</v>
      </c>
      <c r="R442" s="8">
        <f t="shared" si="143"/>
        <v>0</v>
      </c>
      <c r="S442" s="8">
        <f t="shared" si="144"/>
        <v>0</v>
      </c>
      <c r="T442" s="8">
        <f t="shared" si="145"/>
        <v>0</v>
      </c>
      <c r="V442" s="8">
        <f t="shared" si="134"/>
        <v>3</v>
      </c>
      <c r="W442">
        <f t="shared" si="135"/>
        <v>1</v>
      </c>
      <c r="Y442" t="str">
        <f t="shared" si="136"/>
        <v>sadness</v>
      </c>
    </row>
    <row r="443" spans="2:25" x14ac:dyDescent="0.25">
      <c r="B443" s="5">
        <v>441</v>
      </c>
      <c r="C443" t="s">
        <v>3</v>
      </c>
      <c r="D443" t="s">
        <v>1</v>
      </c>
      <c r="E443" t="s">
        <v>1</v>
      </c>
      <c r="F443" t="s">
        <v>1</v>
      </c>
      <c r="G443" t="s">
        <v>1</v>
      </c>
      <c r="J443" s="19"/>
      <c r="K443" s="5">
        <v>441</v>
      </c>
      <c r="L443" s="8">
        <f t="shared" si="137"/>
        <v>1</v>
      </c>
      <c r="M443" s="8">
        <f t="shared" si="138"/>
        <v>4</v>
      </c>
      <c r="N443" s="8">
        <f t="shared" si="139"/>
        <v>0</v>
      </c>
      <c r="O443" s="8">
        <f t="shared" si="140"/>
        <v>0</v>
      </c>
      <c r="P443" s="8">
        <f t="shared" si="141"/>
        <v>0</v>
      </c>
      <c r="Q443" s="8">
        <f t="shared" si="142"/>
        <v>0</v>
      </c>
      <c r="R443" s="8">
        <f t="shared" si="143"/>
        <v>0</v>
      </c>
      <c r="S443" s="8">
        <f t="shared" si="144"/>
        <v>0</v>
      </c>
      <c r="T443" s="8">
        <f t="shared" si="145"/>
        <v>0</v>
      </c>
      <c r="V443" s="8">
        <f t="shared" si="134"/>
        <v>4</v>
      </c>
      <c r="W443">
        <f t="shared" si="135"/>
        <v>1</v>
      </c>
      <c r="Y443" t="str">
        <f t="shared" si="136"/>
        <v>trust</v>
      </c>
    </row>
    <row r="444" spans="2:25" x14ac:dyDescent="0.25">
      <c r="B444" s="5">
        <v>442</v>
      </c>
      <c r="C444" t="s">
        <v>3</v>
      </c>
      <c r="D444" t="s">
        <v>3</v>
      </c>
      <c r="E444" t="s">
        <v>3</v>
      </c>
      <c r="F444" t="s">
        <v>3</v>
      </c>
      <c r="G444" t="s">
        <v>1</v>
      </c>
      <c r="J444" s="19"/>
      <c r="K444" s="5">
        <v>442</v>
      </c>
      <c r="L444" s="8">
        <f t="shared" si="137"/>
        <v>4</v>
      </c>
      <c r="M444" s="8">
        <f t="shared" si="138"/>
        <v>1</v>
      </c>
      <c r="N444" s="8">
        <f t="shared" si="139"/>
        <v>0</v>
      </c>
      <c r="O444" s="8">
        <f t="shared" si="140"/>
        <v>0</v>
      </c>
      <c r="P444" s="8">
        <f t="shared" si="141"/>
        <v>0</v>
      </c>
      <c r="Q444" s="8">
        <f t="shared" si="142"/>
        <v>0</v>
      </c>
      <c r="R444" s="8">
        <f t="shared" si="143"/>
        <v>0</v>
      </c>
      <c r="S444" s="8">
        <f t="shared" si="144"/>
        <v>0</v>
      </c>
      <c r="T444" s="8">
        <f t="shared" si="145"/>
        <v>0</v>
      </c>
      <c r="V444" s="8">
        <f t="shared" si="134"/>
        <v>4</v>
      </c>
      <c r="W444">
        <f t="shared" si="135"/>
        <v>1</v>
      </c>
      <c r="Y444" t="str">
        <f t="shared" si="136"/>
        <v>joy</v>
      </c>
    </row>
    <row r="445" spans="2:25" x14ac:dyDescent="0.25">
      <c r="B445" s="5">
        <v>443</v>
      </c>
      <c r="C445" t="s">
        <v>3</v>
      </c>
      <c r="D445" t="s">
        <v>3</v>
      </c>
      <c r="E445" t="s">
        <v>5</v>
      </c>
      <c r="F445" t="s">
        <v>3</v>
      </c>
      <c r="G445" t="s">
        <v>3</v>
      </c>
      <c r="J445" s="19"/>
      <c r="K445" s="5">
        <v>443</v>
      </c>
      <c r="L445" s="8">
        <f t="shared" si="137"/>
        <v>4</v>
      </c>
      <c r="M445" s="8">
        <f t="shared" si="138"/>
        <v>0</v>
      </c>
      <c r="N445" s="8">
        <f t="shared" si="139"/>
        <v>0</v>
      </c>
      <c r="O445" s="8">
        <f t="shared" si="140"/>
        <v>0</v>
      </c>
      <c r="P445" s="8">
        <f t="shared" si="141"/>
        <v>1</v>
      </c>
      <c r="Q445" s="8">
        <f t="shared" si="142"/>
        <v>0</v>
      </c>
      <c r="R445" s="8">
        <f t="shared" si="143"/>
        <v>0</v>
      </c>
      <c r="S445" s="8">
        <f t="shared" si="144"/>
        <v>0</v>
      </c>
      <c r="T445" s="8">
        <f t="shared" si="145"/>
        <v>0</v>
      </c>
      <c r="V445" s="8">
        <f t="shared" si="134"/>
        <v>4</v>
      </c>
      <c r="W445">
        <f t="shared" si="135"/>
        <v>1</v>
      </c>
      <c r="Y445" t="str">
        <f t="shared" si="136"/>
        <v>joy</v>
      </c>
    </row>
    <row r="446" spans="2:25" x14ac:dyDescent="0.25">
      <c r="B446" s="5">
        <v>444</v>
      </c>
      <c r="C446" t="s">
        <v>1</v>
      </c>
      <c r="D446" t="s">
        <v>1</v>
      </c>
      <c r="E446" t="s">
        <v>3</v>
      </c>
      <c r="F446" t="s">
        <v>1</v>
      </c>
      <c r="G446" t="s">
        <v>6</v>
      </c>
      <c r="J446" s="19">
        <v>1</v>
      </c>
      <c r="K446" s="5">
        <v>444</v>
      </c>
      <c r="L446" s="8">
        <f t="shared" si="137"/>
        <v>1</v>
      </c>
      <c r="M446" s="8">
        <f t="shared" si="138"/>
        <v>3</v>
      </c>
      <c r="N446" s="8">
        <f t="shared" si="139"/>
        <v>1</v>
      </c>
      <c r="O446" s="8">
        <f t="shared" si="140"/>
        <v>0</v>
      </c>
      <c r="P446" s="8">
        <f t="shared" si="141"/>
        <v>0</v>
      </c>
      <c r="Q446" s="8">
        <f t="shared" si="142"/>
        <v>0</v>
      </c>
      <c r="R446" s="8">
        <f t="shared" si="143"/>
        <v>0</v>
      </c>
      <c r="S446" s="8">
        <f t="shared" si="144"/>
        <v>0</v>
      </c>
      <c r="T446" s="8">
        <f t="shared" si="145"/>
        <v>0</v>
      </c>
      <c r="V446" s="8">
        <f t="shared" si="134"/>
        <v>3</v>
      </c>
      <c r="W446">
        <f t="shared" si="135"/>
        <v>1</v>
      </c>
      <c r="Y446" t="str">
        <f t="shared" si="136"/>
        <v>trust</v>
      </c>
    </row>
    <row r="447" spans="2:25" x14ac:dyDescent="0.25">
      <c r="B447" s="5">
        <v>445</v>
      </c>
      <c r="C447" t="s">
        <v>1</v>
      </c>
      <c r="D447" t="s">
        <v>8</v>
      </c>
      <c r="E447" t="s">
        <v>3</v>
      </c>
      <c r="F447" t="s">
        <v>8</v>
      </c>
      <c r="G447" t="s">
        <v>8</v>
      </c>
      <c r="J447" s="19">
        <v>1</v>
      </c>
      <c r="K447" s="5">
        <v>445</v>
      </c>
      <c r="L447" s="8">
        <f t="shared" si="137"/>
        <v>1</v>
      </c>
      <c r="M447" s="8">
        <f t="shared" si="138"/>
        <v>1</v>
      </c>
      <c r="N447" s="8">
        <f t="shared" si="139"/>
        <v>0</v>
      </c>
      <c r="O447" s="8">
        <f t="shared" si="140"/>
        <v>0</v>
      </c>
      <c r="P447" s="8">
        <f t="shared" si="141"/>
        <v>0</v>
      </c>
      <c r="Q447" s="8">
        <f t="shared" si="142"/>
        <v>0</v>
      </c>
      <c r="R447" s="8">
        <f t="shared" si="143"/>
        <v>0</v>
      </c>
      <c r="S447" s="8">
        <f t="shared" si="144"/>
        <v>3</v>
      </c>
      <c r="T447" s="8">
        <f t="shared" si="145"/>
        <v>0</v>
      </c>
      <c r="V447" s="8">
        <f t="shared" si="134"/>
        <v>3</v>
      </c>
      <c r="W447">
        <f t="shared" si="135"/>
        <v>1</v>
      </c>
      <c r="Y447" t="str">
        <f t="shared" si="136"/>
        <v>anticipation</v>
      </c>
    </row>
    <row r="448" spans="2:25" x14ac:dyDescent="0.25">
      <c r="B448" s="5">
        <v>446</v>
      </c>
      <c r="C448" t="s">
        <v>6</v>
      </c>
      <c r="D448" t="s">
        <v>5</v>
      </c>
      <c r="E448" t="s">
        <v>5</v>
      </c>
      <c r="F448" t="s">
        <v>5</v>
      </c>
      <c r="G448" t="s">
        <v>5</v>
      </c>
      <c r="J448" s="19"/>
      <c r="K448" s="5">
        <v>446</v>
      </c>
      <c r="L448" s="8">
        <f t="shared" si="137"/>
        <v>0</v>
      </c>
      <c r="M448" s="8">
        <f t="shared" si="138"/>
        <v>0</v>
      </c>
      <c r="N448" s="8">
        <f t="shared" si="139"/>
        <v>1</v>
      </c>
      <c r="O448" s="8">
        <f t="shared" si="140"/>
        <v>0</v>
      </c>
      <c r="P448" s="8">
        <f t="shared" si="141"/>
        <v>4</v>
      </c>
      <c r="Q448" s="8">
        <f t="shared" si="142"/>
        <v>0</v>
      </c>
      <c r="R448" s="8">
        <f t="shared" si="143"/>
        <v>0</v>
      </c>
      <c r="S448" s="8">
        <f t="shared" si="144"/>
        <v>0</v>
      </c>
      <c r="T448" s="8">
        <f t="shared" si="145"/>
        <v>0</v>
      </c>
      <c r="V448" s="8">
        <f t="shared" si="134"/>
        <v>4</v>
      </c>
      <c r="W448">
        <f t="shared" si="135"/>
        <v>1</v>
      </c>
      <c r="Y448" t="str">
        <f t="shared" si="136"/>
        <v>sadness</v>
      </c>
    </row>
    <row r="449" spans="2:25" x14ac:dyDescent="0.25">
      <c r="B449" s="5">
        <v>447</v>
      </c>
      <c r="C449" t="s">
        <v>6</v>
      </c>
      <c r="D449" t="s">
        <v>6</v>
      </c>
      <c r="E449" t="s">
        <v>3</v>
      </c>
      <c r="F449" t="s">
        <v>6</v>
      </c>
      <c r="G449" t="s">
        <v>1</v>
      </c>
      <c r="J449" s="19">
        <v>1</v>
      </c>
      <c r="K449" s="5">
        <v>447</v>
      </c>
      <c r="L449" s="8">
        <f t="shared" si="137"/>
        <v>1</v>
      </c>
      <c r="M449" s="8">
        <f t="shared" si="138"/>
        <v>1</v>
      </c>
      <c r="N449" s="8">
        <f t="shared" si="139"/>
        <v>3</v>
      </c>
      <c r="O449" s="8">
        <f t="shared" si="140"/>
        <v>0</v>
      </c>
      <c r="P449" s="8">
        <f t="shared" si="141"/>
        <v>0</v>
      </c>
      <c r="Q449" s="8">
        <f t="shared" si="142"/>
        <v>0</v>
      </c>
      <c r="R449" s="8">
        <f t="shared" si="143"/>
        <v>0</v>
      </c>
      <c r="S449" s="8">
        <f t="shared" si="144"/>
        <v>0</v>
      </c>
      <c r="T449" s="8">
        <f t="shared" si="145"/>
        <v>0</v>
      </c>
      <c r="V449" s="8">
        <f t="shared" si="134"/>
        <v>3</v>
      </c>
      <c r="W449">
        <f t="shared" si="135"/>
        <v>1</v>
      </c>
      <c r="Y449" t="str">
        <f t="shared" si="136"/>
        <v>fear</v>
      </c>
    </row>
    <row r="450" spans="2:25" x14ac:dyDescent="0.25">
      <c r="B450" s="5">
        <v>448</v>
      </c>
      <c r="C450" t="s">
        <v>3</v>
      </c>
      <c r="D450" t="s">
        <v>5</v>
      </c>
      <c r="E450" t="s">
        <v>5</v>
      </c>
      <c r="F450" t="s">
        <v>5</v>
      </c>
      <c r="G450" t="s">
        <v>8</v>
      </c>
      <c r="J450" s="19">
        <v>1</v>
      </c>
      <c r="K450" s="5">
        <v>448</v>
      </c>
      <c r="L450" s="8">
        <f t="shared" si="137"/>
        <v>1</v>
      </c>
      <c r="M450" s="8">
        <f t="shared" si="138"/>
        <v>0</v>
      </c>
      <c r="N450" s="8">
        <f t="shared" si="139"/>
        <v>0</v>
      </c>
      <c r="O450" s="8">
        <f t="shared" si="140"/>
        <v>0</v>
      </c>
      <c r="P450" s="8">
        <f t="shared" si="141"/>
        <v>3</v>
      </c>
      <c r="Q450" s="8">
        <f t="shared" si="142"/>
        <v>0</v>
      </c>
      <c r="R450" s="8">
        <f t="shared" si="143"/>
        <v>0</v>
      </c>
      <c r="S450" s="8">
        <f t="shared" si="144"/>
        <v>1</v>
      </c>
      <c r="T450" s="8">
        <f t="shared" si="145"/>
        <v>0</v>
      </c>
      <c r="V450" s="8">
        <f t="shared" si="134"/>
        <v>3</v>
      </c>
      <c r="W450">
        <f t="shared" si="135"/>
        <v>1</v>
      </c>
      <c r="Y450" t="str">
        <f t="shared" si="136"/>
        <v>sadness</v>
      </c>
    </row>
    <row r="451" spans="2:25" x14ac:dyDescent="0.25">
      <c r="B451" s="5">
        <v>449</v>
      </c>
      <c r="C451" t="s">
        <v>3</v>
      </c>
      <c r="D451" t="s">
        <v>3</v>
      </c>
      <c r="E451" t="s">
        <v>3</v>
      </c>
      <c r="F451" t="s">
        <v>3</v>
      </c>
      <c r="G451" t="s">
        <v>8</v>
      </c>
      <c r="J451" s="19"/>
      <c r="K451" s="5">
        <v>449</v>
      </c>
      <c r="L451" s="8">
        <f t="shared" si="137"/>
        <v>4</v>
      </c>
      <c r="M451" s="8">
        <f t="shared" si="138"/>
        <v>0</v>
      </c>
      <c r="N451" s="8">
        <f t="shared" si="139"/>
        <v>0</v>
      </c>
      <c r="O451" s="8">
        <f t="shared" si="140"/>
        <v>0</v>
      </c>
      <c r="P451" s="8">
        <f t="shared" si="141"/>
        <v>0</v>
      </c>
      <c r="Q451" s="8">
        <f t="shared" si="142"/>
        <v>0</v>
      </c>
      <c r="R451" s="8">
        <f t="shared" si="143"/>
        <v>0</v>
      </c>
      <c r="S451" s="8">
        <f t="shared" si="144"/>
        <v>1</v>
      </c>
      <c r="T451" s="8">
        <f t="shared" si="145"/>
        <v>0</v>
      </c>
      <c r="V451" s="8">
        <f t="shared" si="134"/>
        <v>4</v>
      </c>
      <c r="W451">
        <f t="shared" si="135"/>
        <v>1</v>
      </c>
      <c r="Y451" t="str">
        <f t="shared" si="136"/>
        <v>joy</v>
      </c>
    </row>
    <row r="452" spans="2:25" x14ac:dyDescent="0.25">
      <c r="B452" s="5">
        <v>450</v>
      </c>
      <c r="C452" t="s">
        <v>3</v>
      </c>
      <c r="D452" t="s">
        <v>3</v>
      </c>
      <c r="E452" t="s">
        <v>3</v>
      </c>
      <c r="F452" t="s">
        <v>3</v>
      </c>
      <c r="G452" t="s">
        <v>8</v>
      </c>
      <c r="J452" s="19"/>
      <c r="K452" s="5">
        <v>450</v>
      </c>
      <c r="L452" s="8">
        <f t="shared" si="137"/>
        <v>4</v>
      </c>
      <c r="M452" s="8">
        <f t="shared" si="138"/>
        <v>0</v>
      </c>
      <c r="N452" s="8">
        <f t="shared" si="139"/>
        <v>0</v>
      </c>
      <c r="O452" s="8">
        <f t="shared" si="140"/>
        <v>0</v>
      </c>
      <c r="P452" s="8">
        <f t="shared" si="141"/>
        <v>0</v>
      </c>
      <c r="Q452" s="8">
        <f t="shared" si="142"/>
        <v>0</v>
      </c>
      <c r="R452" s="8">
        <f t="shared" si="143"/>
        <v>0</v>
      </c>
      <c r="S452" s="8">
        <f t="shared" si="144"/>
        <v>1</v>
      </c>
      <c r="T452" s="8">
        <f t="shared" si="145"/>
        <v>0</v>
      </c>
      <c r="V452" s="8">
        <f t="shared" si="134"/>
        <v>4</v>
      </c>
      <c r="W452">
        <f t="shared" si="135"/>
        <v>1</v>
      </c>
      <c r="Y452" t="str">
        <f t="shared" si="136"/>
        <v>joy</v>
      </c>
    </row>
    <row r="453" spans="2:25" x14ac:dyDescent="0.25">
      <c r="B453" s="5">
        <v>451</v>
      </c>
      <c r="C453" t="s">
        <v>3</v>
      </c>
      <c r="D453" t="s">
        <v>3</v>
      </c>
      <c r="E453" t="s">
        <v>3</v>
      </c>
      <c r="F453" t="s">
        <v>3</v>
      </c>
      <c r="G453" t="s">
        <v>8</v>
      </c>
      <c r="J453" s="19"/>
      <c r="K453" s="5">
        <v>451</v>
      </c>
      <c r="L453" s="8">
        <f t="shared" si="137"/>
        <v>4</v>
      </c>
      <c r="M453" s="8">
        <f t="shared" si="138"/>
        <v>0</v>
      </c>
      <c r="N453" s="8">
        <f t="shared" si="139"/>
        <v>0</v>
      </c>
      <c r="O453" s="8">
        <f t="shared" si="140"/>
        <v>0</v>
      </c>
      <c r="P453" s="8">
        <f t="shared" si="141"/>
        <v>0</v>
      </c>
      <c r="Q453" s="8">
        <f t="shared" si="142"/>
        <v>0</v>
      </c>
      <c r="R453" s="8">
        <f t="shared" si="143"/>
        <v>0</v>
      </c>
      <c r="S453" s="8">
        <f t="shared" si="144"/>
        <v>1</v>
      </c>
      <c r="T453" s="8">
        <f t="shared" si="145"/>
        <v>0</v>
      </c>
      <c r="V453" s="8">
        <f t="shared" si="134"/>
        <v>4</v>
      </c>
      <c r="W453">
        <f t="shared" si="135"/>
        <v>1</v>
      </c>
      <c r="Y453" t="str">
        <f t="shared" si="136"/>
        <v>joy</v>
      </c>
    </row>
    <row r="454" spans="2:25" x14ac:dyDescent="0.25">
      <c r="B454" s="5">
        <v>452</v>
      </c>
      <c r="C454" t="s">
        <v>3</v>
      </c>
      <c r="D454" t="s">
        <v>3</v>
      </c>
      <c r="E454" t="s">
        <v>3</v>
      </c>
      <c r="F454" t="s">
        <v>3</v>
      </c>
      <c r="G454" t="s">
        <v>8</v>
      </c>
      <c r="J454" s="19"/>
      <c r="K454" s="5">
        <v>452</v>
      </c>
      <c r="L454" s="8">
        <f t="shared" si="137"/>
        <v>4</v>
      </c>
      <c r="M454" s="8">
        <f t="shared" si="138"/>
        <v>0</v>
      </c>
      <c r="N454" s="8">
        <f t="shared" si="139"/>
        <v>0</v>
      </c>
      <c r="O454" s="8">
        <f t="shared" si="140"/>
        <v>0</v>
      </c>
      <c r="P454" s="8">
        <f t="shared" si="141"/>
        <v>0</v>
      </c>
      <c r="Q454" s="8">
        <f t="shared" si="142"/>
        <v>0</v>
      </c>
      <c r="R454" s="8">
        <f t="shared" si="143"/>
        <v>0</v>
      </c>
      <c r="S454" s="8">
        <f t="shared" si="144"/>
        <v>1</v>
      </c>
      <c r="T454" s="8">
        <f t="shared" si="145"/>
        <v>0</v>
      </c>
      <c r="V454" s="8">
        <f t="shared" si="134"/>
        <v>4</v>
      </c>
      <c r="W454">
        <f t="shared" si="135"/>
        <v>1</v>
      </c>
      <c r="Y454" t="str">
        <f t="shared" si="136"/>
        <v>joy</v>
      </c>
    </row>
    <row r="455" spans="2:25" x14ac:dyDescent="0.25">
      <c r="B455" s="5">
        <v>453</v>
      </c>
      <c r="C455" t="s">
        <v>3</v>
      </c>
      <c r="D455" t="s">
        <v>3</v>
      </c>
      <c r="E455" t="s">
        <v>3</v>
      </c>
      <c r="F455" t="s">
        <v>3</v>
      </c>
      <c r="G455" t="s">
        <v>8</v>
      </c>
      <c r="J455" s="19"/>
      <c r="K455" s="5">
        <v>453</v>
      </c>
      <c r="L455" s="8">
        <f t="shared" si="137"/>
        <v>4</v>
      </c>
      <c r="M455" s="8">
        <f t="shared" si="138"/>
        <v>0</v>
      </c>
      <c r="N455" s="8">
        <f t="shared" si="139"/>
        <v>0</v>
      </c>
      <c r="O455" s="8">
        <f t="shared" si="140"/>
        <v>0</v>
      </c>
      <c r="P455" s="8">
        <f t="shared" si="141"/>
        <v>0</v>
      </c>
      <c r="Q455" s="8">
        <f t="shared" si="142"/>
        <v>0</v>
      </c>
      <c r="R455" s="8">
        <f t="shared" si="143"/>
        <v>0</v>
      </c>
      <c r="S455" s="8">
        <f t="shared" si="144"/>
        <v>1</v>
      </c>
      <c r="T455" s="8">
        <f t="shared" si="145"/>
        <v>0</v>
      </c>
      <c r="V455" s="8">
        <f t="shared" si="134"/>
        <v>4</v>
      </c>
      <c r="W455">
        <f t="shared" si="135"/>
        <v>1</v>
      </c>
      <c r="Y455" t="str">
        <f t="shared" si="136"/>
        <v>joy</v>
      </c>
    </row>
    <row r="456" spans="2:25" x14ac:dyDescent="0.25">
      <c r="B456" s="5">
        <v>454</v>
      </c>
      <c r="C456" t="s">
        <v>3</v>
      </c>
      <c r="D456" t="s">
        <v>2</v>
      </c>
      <c r="E456" t="s">
        <v>2</v>
      </c>
      <c r="F456" t="s">
        <v>2</v>
      </c>
      <c r="G456" t="s">
        <v>2</v>
      </c>
      <c r="J456" s="19"/>
      <c r="K456" s="5">
        <v>454</v>
      </c>
      <c r="L456" s="8">
        <f t="shared" si="137"/>
        <v>1</v>
      </c>
      <c r="M456" s="8">
        <f t="shared" si="138"/>
        <v>0</v>
      </c>
      <c r="N456" s="8">
        <f t="shared" si="139"/>
        <v>0</v>
      </c>
      <c r="O456" s="8">
        <f t="shared" si="140"/>
        <v>0</v>
      </c>
      <c r="P456" s="8">
        <f t="shared" si="141"/>
        <v>0</v>
      </c>
      <c r="Q456" s="8">
        <f t="shared" si="142"/>
        <v>0</v>
      </c>
      <c r="R456" s="8">
        <f t="shared" si="143"/>
        <v>0</v>
      </c>
      <c r="S456" s="8">
        <f t="shared" si="144"/>
        <v>0</v>
      </c>
      <c r="T456" s="8">
        <f t="shared" si="145"/>
        <v>4</v>
      </c>
      <c r="V456" s="8">
        <f t="shared" si="134"/>
        <v>4</v>
      </c>
      <c r="W456">
        <f t="shared" si="135"/>
        <v>1</v>
      </c>
      <c r="Y456" t="str">
        <f t="shared" si="136"/>
        <v>AMBIGUOUS</v>
      </c>
    </row>
    <row r="457" spans="2:25" x14ac:dyDescent="0.25">
      <c r="B457" s="5">
        <v>455</v>
      </c>
      <c r="C457" t="s">
        <v>1</v>
      </c>
      <c r="D457" t="s">
        <v>1</v>
      </c>
      <c r="E457" t="s">
        <v>3</v>
      </c>
      <c r="F457" t="s">
        <v>1</v>
      </c>
      <c r="G457" t="s">
        <v>1</v>
      </c>
      <c r="J457" s="19"/>
      <c r="K457" s="5">
        <v>455</v>
      </c>
      <c r="L457" s="8">
        <f t="shared" si="137"/>
        <v>1</v>
      </c>
      <c r="M457" s="8">
        <f t="shared" si="138"/>
        <v>4</v>
      </c>
      <c r="N457" s="8">
        <f t="shared" si="139"/>
        <v>0</v>
      </c>
      <c r="O457" s="8">
        <f t="shared" si="140"/>
        <v>0</v>
      </c>
      <c r="P457" s="8">
        <f t="shared" si="141"/>
        <v>0</v>
      </c>
      <c r="Q457" s="8">
        <f t="shared" si="142"/>
        <v>0</v>
      </c>
      <c r="R457" s="8">
        <f t="shared" si="143"/>
        <v>0</v>
      </c>
      <c r="S457" s="8">
        <f t="shared" si="144"/>
        <v>0</v>
      </c>
      <c r="T457" s="8">
        <f t="shared" si="145"/>
        <v>0</v>
      </c>
      <c r="V457" s="8">
        <f t="shared" si="134"/>
        <v>4</v>
      </c>
      <c r="W457">
        <f t="shared" si="135"/>
        <v>1</v>
      </c>
      <c r="Y457" t="str">
        <f t="shared" si="136"/>
        <v>trust</v>
      </c>
    </row>
    <row r="458" spans="2:25" x14ac:dyDescent="0.25">
      <c r="B458" s="5">
        <v>456</v>
      </c>
      <c r="C458" t="s">
        <v>1</v>
      </c>
      <c r="D458" t="s">
        <v>3</v>
      </c>
      <c r="E458" t="s">
        <v>3</v>
      </c>
      <c r="F458" t="s">
        <v>3</v>
      </c>
      <c r="G458" t="s">
        <v>3</v>
      </c>
      <c r="J458" s="19"/>
      <c r="K458" s="5">
        <v>456</v>
      </c>
      <c r="L458" s="8">
        <f t="shared" si="137"/>
        <v>4</v>
      </c>
      <c r="M458" s="8">
        <f t="shared" si="138"/>
        <v>1</v>
      </c>
      <c r="N458" s="8">
        <f t="shared" si="139"/>
        <v>0</v>
      </c>
      <c r="O458" s="8">
        <f t="shared" si="140"/>
        <v>0</v>
      </c>
      <c r="P458" s="8">
        <f t="shared" si="141"/>
        <v>0</v>
      </c>
      <c r="Q458" s="8">
        <f t="shared" si="142"/>
        <v>0</v>
      </c>
      <c r="R458" s="8">
        <f t="shared" si="143"/>
        <v>0</v>
      </c>
      <c r="S458" s="8">
        <f t="shared" si="144"/>
        <v>0</v>
      </c>
      <c r="T458" s="8">
        <f t="shared" si="145"/>
        <v>0</v>
      </c>
      <c r="V458" s="8">
        <f t="shared" si="134"/>
        <v>4</v>
      </c>
      <c r="W458">
        <f t="shared" si="135"/>
        <v>1</v>
      </c>
      <c r="Y458" t="str">
        <f t="shared" si="136"/>
        <v>joy</v>
      </c>
    </row>
    <row r="459" spans="2:25" x14ac:dyDescent="0.25">
      <c r="B459" s="5">
        <v>457</v>
      </c>
      <c r="C459" t="s">
        <v>3</v>
      </c>
      <c r="D459" t="s">
        <v>3</v>
      </c>
      <c r="E459" t="s">
        <v>3</v>
      </c>
      <c r="F459" t="s">
        <v>3</v>
      </c>
      <c r="G459" t="s">
        <v>7</v>
      </c>
      <c r="J459" s="19"/>
      <c r="K459" s="5">
        <v>457</v>
      </c>
      <c r="L459" s="8">
        <f t="shared" si="137"/>
        <v>4</v>
      </c>
      <c r="M459" s="8">
        <f t="shared" si="138"/>
        <v>0</v>
      </c>
      <c r="N459" s="8">
        <f t="shared" si="139"/>
        <v>0</v>
      </c>
      <c r="O459" s="8">
        <f t="shared" si="140"/>
        <v>1</v>
      </c>
      <c r="P459" s="8">
        <f t="shared" si="141"/>
        <v>0</v>
      </c>
      <c r="Q459" s="8">
        <f t="shared" si="142"/>
        <v>0</v>
      </c>
      <c r="R459" s="8">
        <f t="shared" si="143"/>
        <v>0</v>
      </c>
      <c r="S459" s="8">
        <f t="shared" si="144"/>
        <v>0</v>
      </c>
      <c r="T459" s="8">
        <f t="shared" si="145"/>
        <v>0</v>
      </c>
      <c r="V459" s="8">
        <f t="shared" si="134"/>
        <v>4</v>
      </c>
      <c r="W459">
        <f t="shared" si="135"/>
        <v>1</v>
      </c>
      <c r="Y459" t="str">
        <f t="shared" si="136"/>
        <v>joy</v>
      </c>
    </row>
    <row r="460" spans="2:25" x14ac:dyDescent="0.25">
      <c r="B460" s="5">
        <v>458</v>
      </c>
      <c r="C460" t="s">
        <v>1</v>
      </c>
      <c r="D460" t="s">
        <v>1</v>
      </c>
      <c r="E460" t="s">
        <v>3</v>
      </c>
      <c r="F460" t="s">
        <v>1</v>
      </c>
      <c r="G460" t="s">
        <v>1</v>
      </c>
      <c r="J460" s="19"/>
      <c r="K460" s="5">
        <v>458</v>
      </c>
      <c r="L460" s="8">
        <f t="shared" si="137"/>
        <v>1</v>
      </c>
      <c r="M460" s="8">
        <f t="shared" si="138"/>
        <v>4</v>
      </c>
      <c r="N460" s="8">
        <f t="shared" si="139"/>
        <v>0</v>
      </c>
      <c r="O460" s="8">
        <f t="shared" si="140"/>
        <v>0</v>
      </c>
      <c r="P460" s="8">
        <f t="shared" si="141"/>
        <v>0</v>
      </c>
      <c r="Q460" s="8">
        <f t="shared" si="142"/>
        <v>0</v>
      </c>
      <c r="R460" s="8">
        <f t="shared" si="143"/>
        <v>0</v>
      </c>
      <c r="S460" s="8">
        <f t="shared" si="144"/>
        <v>0</v>
      </c>
      <c r="T460" s="8">
        <f t="shared" si="145"/>
        <v>0</v>
      </c>
      <c r="V460" s="8">
        <f t="shared" si="134"/>
        <v>4</v>
      </c>
      <c r="W460">
        <f t="shared" si="135"/>
        <v>1</v>
      </c>
      <c r="Y460" t="str">
        <f t="shared" si="136"/>
        <v>trust</v>
      </c>
    </row>
    <row r="461" spans="2:25" x14ac:dyDescent="0.25">
      <c r="B461" s="5">
        <v>459</v>
      </c>
      <c r="C461" t="s">
        <v>1</v>
      </c>
      <c r="D461" t="s">
        <v>7</v>
      </c>
      <c r="E461" t="s">
        <v>3</v>
      </c>
      <c r="F461" t="s">
        <v>7</v>
      </c>
      <c r="G461" t="s">
        <v>7</v>
      </c>
      <c r="J461" s="19">
        <v>1</v>
      </c>
      <c r="K461" s="5">
        <v>459</v>
      </c>
      <c r="L461" s="8">
        <f t="shared" si="137"/>
        <v>1</v>
      </c>
      <c r="M461" s="8">
        <f t="shared" si="138"/>
        <v>1</v>
      </c>
      <c r="N461" s="8">
        <f t="shared" si="139"/>
        <v>0</v>
      </c>
      <c r="O461" s="8">
        <f t="shared" si="140"/>
        <v>3</v>
      </c>
      <c r="P461" s="8">
        <f t="shared" si="141"/>
        <v>0</v>
      </c>
      <c r="Q461" s="8">
        <f t="shared" si="142"/>
        <v>0</v>
      </c>
      <c r="R461" s="8">
        <f t="shared" si="143"/>
        <v>0</v>
      </c>
      <c r="S461" s="8">
        <f t="shared" si="144"/>
        <v>0</v>
      </c>
      <c r="T461" s="8">
        <f t="shared" si="145"/>
        <v>0</v>
      </c>
      <c r="V461" s="8">
        <f t="shared" si="134"/>
        <v>3</v>
      </c>
      <c r="W461">
        <f t="shared" si="135"/>
        <v>1</v>
      </c>
      <c r="Y461" t="str">
        <f t="shared" si="136"/>
        <v>surprise</v>
      </c>
    </row>
    <row r="462" spans="2:25" x14ac:dyDescent="0.25">
      <c r="B462" s="5">
        <v>460</v>
      </c>
      <c r="C462" t="s">
        <v>3</v>
      </c>
      <c r="D462" t="s">
        <v>3</v>
      </c>
      <c r="E462" t="s">
        <v>3</v>
      </c>
      <c r="F462" t="s">
        <v>3</v>
      </c>
      <c r="G462" t="s">
        <v>1</v>
      </c>
      <c r="J462" s="19"/>
      <c r="K462" s="5">
        <v>460</v>
      </c>
      <c r="L462" s="8">
        <f t="shared" si="137"/>
        <v>4</v>
      </c>
      <c r="M462" s="8">
        <f t="shared" si="138"/>
        <v>1</v>
      </c>
      <c r="N462" s="8">
        <f t="shared" si="139"/>
        <v>0</v>
      </c>
      <c r="O462" s="8">
        <f t="shared" si="140"/>
        <v>0</v>
      </c>
      <c r="P462" s="8">
        <f t="shared" si="141"/>
        <v>0</v>
      </c>
      <c r="Q462" s="8">
        <f t="shared" si="142"/>
        <v>0</v>
      </c>
      <c r="R462" s="8">
        <f t="shared" si="143"/>
        <v>0</v>
      </c>
      <c r="S462" s="8">
        <f t="shared" si="144"/>
        <v>0</v>
      </c>
      <c r="T462" s="8">
        <f t="shared" si="145"/>
        <v>0</v>
      </c>
      <c r="V462" s="8">
        <f t="shared" si="134"/>
        <v>4</v>
      </c>
      <c r="W462">
        <f t="shared" si="135"/>
        <v>1</v>
      </c>
      <c r="Y462" t="str">
        <f t="shared" si="136"/>
        <v>joy</v>
      </c>
    </row>
    <row r="463" spans="2:25" x14ac:dyDescent="0.25">
      <c r="B463" s="5">
        <v>461</v>
      </c>
      <c r="C463" t="s">
        <v>3</v>
      </c>
      <c r="D463" t="s">
        <v>5</v>
      </c>
      <c r="E463" t="s">
        <v>5</v>
      </c>
      <c r="F463" t="s">
        <v>5</v>
      </c>
      <c r="G463" t="s">
        <v>1</v>
      </c>
      <c r="J463" s="19">
        <v>1</v>
      </c>
      <c r="K463" s="5">
        <v>461</v>
      </c>
      <c r="L463" s="8">
        <f t="shared" si="137"/>
        <v>1</v>
      </c>
      <c r="M463" s="8">
        <f t="shared" si="138"/>
        <v>1</v>
      </c>
      <c r="N463" s="8">
        <f t="shared" si="139"/>
        <v>0</v>
      </c>
      <c r="O463" s="8">
        <f t="shared" si="140"/>
        <v>0</v>
      </c>
      <c r="P463" s="8">
        <f t="shared" si="141"/>
        <v>3</v>
      </c>
      <c r="Q463" s="8">
        <f t="shared" si="142"/>
        <v>0</v>
      </c>
      <c r="R463" s="8">
        <f t="shared" si="143"/>
        <v>0</v>
      </c>
      <c r="S463" s="8">
        <f t="shared" si="144"/>
        <v>0</v>
      </c>
      <c r="T463" s="8">
        <f t="shared" si="145"/>
        <v>0</v>
      </c>
      <c r="V463" s="8">
        <f t="shared" si="134"/>
        <v>3</v>
      </c>
      <c r="W463">
        <f t="shared" si="135"/>
        <v>1</v>
      </c>
      <c r="Y463" t="str">
        <f t="shared" si="136"/>
        <v>sadness</v>
      </c>
    </row>
    <row r="464" spans="2:25" x14ac:dyDescent="0.25">
      <c r="B464" s="5">
        <v>462</v>
      </c>
      <c r="C464" t="s">
        <v>3</v>
      </c>
      <c r="D464" t="s">
        <v>1</v>
      </c>
      <c r="E464" t="s">
        <v>2</v>
      </c>
      <c r="F464" t="s">
        <v>1</v>
      </c>
      <c r="G464" t="s">
        <v>1</v>
      </c>
      <c r="J464" s="19">
        <v>1</v>
      </c>
      <c r="K464" s="5">
        <v>462</v>
      </c>
      <c r="L464" s="8">
        <f t="shared" si="137"/>
        <v>1</v>
      </c>
      <c r="M464" s="8">
        <f t="shared" si="138"/>
        <v>3</v>
      </c>
      <c r="N464" s="8">
        <f t="shared" si="139"/>
        <v>0</v>
      </c>
      <c r="O464" s="8">
        <f t="shared" si="140"/>
        <v>0</v>
      </c>
      <c r="P464" s="8">
        <f t="shared" si="141"/>
        <v>0</v>
      </c>
      <c r="Q464" s="8">
        <f t="shared" si="142"/>
        <v>0</v>
      </c>
      <c r="R464" s="8">
        <f t="shared" si="143"/>
        <v>0</v>
      </c>
      <c r="S464" s="8">
        <f t="shared" si="144"/>
        <v>0</v>
      </c>
      <c r="T464" s="8">
        <f t="shared" si="145"/>
        <v>1</v>
      </c>
      <c r="V464" s="8">
        <f t="shared" si="134"/>
        <v>3</v>
      </c>
      <c r="W464">
        <f t="shared" si="135"/>
        <v>1</v>
      </c>
      <c r="Y464" t="str">
        <f t="shared" si="136"/>
        <v>trust</v>
      </c>
    </row>
    <row r="465" spans="2:25" x14ac:dyDescent="0.25">
      <c r="B465" s="5">
        <v>463</v>
      </c>
      <c r="C465" t="s">
        <v>3</v>
      </c>
      <c r="D465" t="s">
        <v>3</v>
      </c>
      <c r="E465" t="s">
        <v>3</v>
      </c>
      <c r="F465" t="s">
        <v>3</v>
      </c>
      <c r="G465" t="s">
        <v>8</v>
      </c>
      <c r="J465" s="19"/>
      <c r="K465" s="5">
        <v>463</v>
      </c>
      <c r="L465" s="8">
        <f t="shared" si="137"/>
        <v>4</v>
      </c>
      <c r="M465" s="8">
        <f t="shared" si="138"/>
        <v>0</v>
      </c>
      <c r="N465" s="8">
        <f t="shared" si="139"/>
        <v>0</v>
      </c>
      <c r="O465" s="8">
        <f t="shared" si="140"/>
        <v>0</v>
      </c>
      <c r="P465" s="8">
        <f t="shared" si="141"/>
        <v>0</v>
      </c>
      <c r="Q465" s="8">
        <f t="shared" si="142"/>
        <v>0</v>
      </c>
      <c r="R465" s="8">
        <f t="shared" si="143"/>
        <v>0</v>
      </c>
      <c r="S465" s="8">
        <f t="shared" si="144"/>
        <v>1</v>
      </c>
      <c r="T465" s="8">
        <f t="shared" si="145"/>
        <v>0</v>
      </c>
      <c r="V465" s="8">
        <f t="shared" si="134"/>
        <v>4</v>
      </c>
      <c r="W465">
        <f t="shared" si="135"/>
        <v>1</v>
      </c>
      <c r="Y465" t="str">
        <f t="shared" si="136"/>
        <v>joy</v>
      </c>
    </row>
    <row r="466" spans="2:25" x14ac:dyDescent="0.25">
      <c r="B466" s="5">
        <v>464</v>
      </c>
      <c r="C466" t="s">
        <v>4</v>
      </c>
      <c r="D466" t="s">
        <v>8</v>
      </c>
      <c r="E466" t="s">
        <v>2</v>
      </c>
      <c r="F466" t="s">
        <v>8</v>
      </c>
      <c r="G466" t="s">
        <v>8</v>
      </c>
      <c r="J466" s="19">
        <v>1</v>
      </c>
      <c r="K466" s="5">
        <v>464</v>
      </c>
      <c r="L466" s="8">
        <f t="shared" si="137"/>
        <v>0</v>
      </c>
      <c r="M466" s="8">
        <f t="shared" si="138"/>
        <v>0</v>
      </c>
      <c r="N466" s="8">
        <f t="shared" si="139"/>
        <v>0</v>
      </c>
      <c r="O466" s="8">
        <f t="shared" si="140"/>
        <v>0</v>
      </c>
      <c r="P466" s="8">
        <f t="shared" si="141"/>
        <v>0</v>
      </c>
      <c r="Q466" s="8">
        <f t="shared" si="142"/>
        <v>0</v>
      </c>
      <c r="R466" s="8">
        <f t="shared" si="143"/>
        <v>1</v>
      </c>
      <c r="S466" s="8">
        <f t="shared" si="144"/>
        <v>3</v>
      </c>
      <c r="T466" s="8">
        <f t="shared" si="145"/>
        <v>1</v>
      </c>
      <c r="V466" s="8">
        <f t="shared" si="134"/>
        <v>3</v>
      </c>
      <c r="W466">
        <f t="shared" si="135"/>
        <v>1</v>
      </c>
      <c r="Y466" t="str">
        <f t="shared" si="136"/>
        <v>anticipation</v>
      </c>
    </row>
    <row r="467" spans="2:25" x14ac:dyDescent="0.25">
      <c r="B467" s="5">
        <v>465</v>
      </c>
      <c r="C467" t="s">
        <v>6</v>
      </c>
      <c r="D467" t="s">
        <v>6</v>
      </c>
      <c r="E467" t="s">
        <v>6</v>
      </c>
      <c r="F467" t="s">
        <v>6</v>
      </c>
      <c r="G467" t="s">
        <v>5</v>
      </c>
      <c r="J467" s="19"/>
      <c r="K467" s="5">
        <v>465</v>
      </c>
      <c r="L467" s="8">
        <f t="shared" si="137"/>
        <v>0</v>
      </c>
      <c r="M467" s="8">
        <f t="shared" si="138"/>
        <v>0</v>
      </c>
      <c r="N467" s="8">
        <f t="shared" si="139"/>
        <v>4</v>
      </c>
      <c r="O467" s="8">
        <f t="shared" si="140"/>
        <v>0</v>
      </c>
      <c r="P467" s="8">
        <f t="shared" si="141"/>
        <v>1</v>
      </c>
      <c r="Q467" s="8">
        <f t="shared" si="142"/>
        <v>0</v>
      </c>
      <c r="R467" s="8">
        <f t="shared" si="143"/>
        <v>0</v>
      </c>
      <c r="S467" s="8">
        <f t="shared" si="144"/>
        <v>0</v>
      </c>
      <c r="T467" s="8">
        <f t="shared" si="145"/>
        <v>0</v>
      </c>
      <c r="V467" s="8">
        <f t="shared" si="134"/>
        <v>4</v>
      </c>
      <c r="W467">
        <f t="shared" si="135"/>
        <v>1</v>
      </c>
      <c r="Y467" t="str">
        <f t="shared" si="136"/>
        <v>fear</v>
      </c>
    </row>
    <row r="468" spans="2:25" x14ac:dyDescent="0.25">
      <c r="B468" s="5">
        <v>466</v>
      </c>
      <c r="C468" t="s">
        <v>3</v>
      </c>
      <c r="D468" t="s">
        <v>3</v>
      </c>
      <c r="E468" t="s">
        <v>3</v>
      </c>
      <c r="F468" t="s">
        <v>3</v>
      </c>
      <c r="G468" t="s">
        <v>8</v>
      </c>
      <c r="J468" s="19"/>
      <c r="K468" s="5">
        <v>466</v>
      </c>
      <c r="L468" s="8">
        <f t="shared" si="137"/>
        <v>4</v>
      </c>
      <c r="M468" s="8">
        <f t="shared" si="138"/>
        <v>0</v>
      </c>
      <c r="N468" s="8">
        <f t="shared" si="139"/>
        <v>0</v>
      </c>
      <c r="O468" s="8">
        <f t="shared" si="140"/>
        <v>0</v>
      </c>
      <c r="P468" s="8">
        <f t="shared" si="141"/>
        <v>0</v>
      </c>
      <c r="Q468" s="8">
        <f t="shared" si="142"/>
        <v>0</v>
      </c>
      <c r="R468" s="8">
        <f t="shared" si="143"/>
        <v>0</v>
      </c>
      <c r="S468" s="8">
        <f t="shared" si="144"/>
        <v>1</v>
      </c>
      <c r="T468" s="8">
        <f t="shared" si="145"/>
        <v>0</v>
      </c>
      <c r="V468" s="8">
        <f t="shared" ref="V468:V531" si="146">MAX(L468:T468)</f>
        <v>4</v>
      </c>
      <c r="W468">
        <f t="shared" ref="W468:W531" si="147">COUNTIF(L468:T468, "=" &amp; V468)</f>
        <v>1</v>
      </c>
      <c r="Y468" t="str">
        <f t="shared" ref="Y468:Y531" si="148">INDEX($L$2:$T$2,MATCH(MAX(L468:T468),L468:T468,0))</f>
        <v>joy</v>
      </c>
    </row>
    <row r="469" spans="2:25" x14ac:dyDescent="0.25">
      <c r="B469" s="5">
        <v>467</v>
      </c>
      <c r="C469" t="s">
        <v>1</v>
      </c>
      <c r="D469" t="s">
        <v>1</v>
      </c>
      <c r="E469" t="s">
        <v>3</v>
      </c>
      <c r="F469" t="s">
        <v>1</v>
      </c>
      <c r="G469" t="s">
        <v>1</v>
      </c>
      <c r="J469" s="19"/>
      <c r="K469" s="5">
        <v>467</v>
      </c>
      <c r="L469" s="8">
        <f t="shared" si="137"/>
        <v>1</v>
      </c>
      <c r="M469" s="8">
        <f t="shared" si="138"/>
        <v>4</v>
      </c>
      <c r="N469" s="8">
        <f t="shared" si="139"/>
        <v>0</v>
      </c>
      <c r="O469" s="8">
        <f t="shared" si="140"/>
        <v>0</v>
      </c>
      <c r="P469" s="8">
        <f t="shared" si="141"/>
        <v>0</v>
      </c>
      <c r="Q469" s="8">
        <f t="shared" si="142"/>
        <v>0</v>
      </c>
      <c r="R469" s="8">
        <f t="shared" si="143"/>
        <v>0</v>
      </c>
      <c r="S469" s="8">
        <f t="shared" si="144"/>
        <v>0</v>
      </c>
      <c r="T469" s="8">
        <f t="shared" si="145"/>
        <v>0</v>
      </c>
      <c r="V469" s="8">
        <f t="shared" si="146"/>
        <v>4</v>
      </c>
      <c r="W469">
        <f t="shared" si="147"/>
        <v>1</v>
      </c>
      <c r="Y469" t="str">
        <f t="shared" si="148"/>
        <v>trust</v>
      </c>
    </row>
    <row r="470" spans="2:25" x14ac:dyDescent="0.25">
      <c r="B470" s="5">
        <v>468</v>
      </c>
      <c r="C470" t="s">
        <v>1</v>
      </c>
      <c r="D470" t="s">
        <v>1</v>
      </c>
      <c r="E470" t="s">
        <v>2</v>
      </c>
      <c r="F470" t="s">
        <v>1</v>
      </c>
      <c r="G470" t="s">
        <v>1</v>
      </c>
      <c r="J470" s="19"/>
      <c r="K470" s="5">
        <v>468</v>
      </c>
      <c r="L470" s="8">
        <f t="shared" si="137"/>
        <v>0</v>
      </c>
      <c r="M470" s="8">
        <f t="shared" si="138"/>
        <v>4</v>
      </c>
      <c r="N470" s="8">
        <f t="shared" si="139"/>
        <v>0</v>
      </c>
      <c r="O470" s="8">
        <f t="shared" si="140"/>
        <v>0</v>
      </c>
      <c r="P470" s="8">
        <f t="shared" si="141"/>
        <v>0</v>
      </c>
      <c r="Q470" s="8">
        <f t="shared" si="142"/>
        <v>0</v>
      </c>
      <c r="R470" s="8">
        <f t="shared" si="143"/>
        <v>0</v>
      </c>
      <c r="S470" s="8">
        <f t="shared" si="144"/>
        <v>0</v>
      </c>
      <c r="T470" s="8">
        <f t="shared" si="145"/>
        <v>1</v>
      </c>
      <c r="V470" s="8">
        <f t="shared" si="146"/>
        <v>4</v>
      </c>
      <c r="W470">
        <f t="shared" si="147"/>
        <v>1</v>
      </c>
      <c r="Y470" t="str">
        <f t="shared" si="148"/>
        <v>trust</v>
      </c>
    </row>
    <row r="471" spans="2:25" x14ac:dyDescent="0.25">
      <c r="B471" s="5">
        <v>469</v>
      </c>
      <c r="C471" t="s">
        <v>6</v>
      </c>
      <c r="D471" t="s">
        <v>2</v>
      </c>
      <c r="E471" t="s">
        <v>2</v>
      </c>
      <c r="F471" t="s">
        <v>2</v>
      </c>
      <c r="G471" t="s">
        <v>2</v>
      </c>
      <c r="J471" s="19"/>
      <c r="K471" s="5">
        <v>469</v>
      </c>
      <c r="L471" s="8">
        <f t="shared" si="137"/>
        <v>0</v>
      </c>
      <c r="M471" s="8">
        <f t="shared" si="138"/>
        <v>0</v>
      </c>
      <c r="N471" s="8">
        <f t="shared" si="139"/>
        <v>1</v>
      </c>
      <c r="O471" s="8">
        <f t="shared" si="140"/>
        <v>0</v>
      </c>
      <c r="P471" s="8">
        <f t="shared" si="141"/>
        <v>0</v>
      </c>
      <c r="Q471" s="8">
        <f t="shared" si="142"/>
        <v>0</v>
      </c>
      <c r="R471" s="8">
        <f t="shared" si="143"/>
        <v>0</v>
      </c>
      <c r="S471" s="8">
        <f t="shared" si="144"/>
        <v>0</v>
      </c>
      <c r="T471" s="8">
        <f t="shared" si="145"/>
        <v>4</v>
      </c>
      <c r="V471" s="8">
        <f t="shared" si="146"/>
        <v>4</v>
      </c>
      <c r="W471">
        <f t="shared" si="147"/>
        <v>1</v>
      </c>
      <c r="Y471" t="str">
        <f t="shared" si="148"/>
        <v>AMBIGUOUS</v>
      </c>
    </row>
    <row r="472" spans="2:25" x14ac:dyDescent="0.25">
      <c r="B472" s="5">
        <v>470</v>
      </c>
      <c r="C472" t="s">
        <v>3</v>
      </c>
      <c r="D472" t="s">
        <v>3</v>
      </c>
      <c r="E472" t="s">
        <v>3</v>
      </c>
      <c r="F472" t="s">
        <v>3</v>
      </c>
      <c r="G472" t="s">
        <v>8</v>
      </c>
      <c r="J472" s="19"/>
      <c r="K472" s="5">
        <v>470</v>
      </c>
      <c r="L472" s="8">
        <f t="shared" si="137"/>
        <v>4</v>
      </c>
      <c r="M472" s="8">
        <f t="shared" si="138"/>
        <v>0</v>
      </c>
      <c r="N472" s="8">
        <f t="shared" si="139"/>
        <v>0</v>
      </c>
      <c r="O472" s="8">
        <f t="shared" si="140"/>
        <v>0</v>
      </c>
      <c r="P472" s="8">
        <f t="shared" si="141"/>
        <v>0</v>
      </c>
      <c r="Q472" s="8">
        <f t="shared" si="142"/>
        <v>0</v>
      </c>
      <c r="R472" s="8">
        <f t="shared" si="143"/>
        <v>0</v>
      </c>
      <c r="S472" s="8">
        <f t="shared" si="144"/>
        <v>1</v>
      </c>
      <c r="T472" s="8">
        <f t="shared" si="145"/>
        <v>0</v>
      </c>
      <c r="V472" s="8">
        <f t="shared" si="146"/>
        <v>4</v>
      </c>
      <c r="W472">
        <f t="shared" si="147"/>
        <v>1</v>
      </c>
      <c r="Y472" t="str">
        <f t="shared" si="148"/>
        <v>joy</v>
      </c>
    </row>
    <row r="473" spans="2:25" x14ac:dyDescent="0.25">
      <c r="B473" s="5">
        <v>471</v>
      </c>
      <c r="C473" t="s">
        <v>6</v>
      </c>
      <c r="D473" t="s">
        <v>6</v>
      </c>
      <c r="E473" t="s">
        <v>6</v>
      </c>
      <c r="F473" t="s">
        <v>6</v>
      </c>
      <c r="G473" t="s">
        <v>2</v>
      </c>
      <c r="J473" s="19"/>
      <c r="K473" s="5">
        <v>471</v>
      </c>
      <c r="L473" s="8">
        <f t="shared" si="137"/>
        <v>0</v>
      </c>
      <c r="M473" s="8">
        <f t="shared" si="138"/>
        <v>0</v>
      </c>
      <c r="N473" s="8">
        <f t="shared" si="139"/>
        <v>4</v>
      </c>
      <c r="O473" s="8">
        <f t="shared" si="140"/>
        <v>0</v>
      </c>
      <c r="P473" s="8">
        <f t="shared" si="141"/>
        <v>0</v>
      </c>
      <c r="Q473" s="8">
        <f t="shared" si="142"/>
        <v>0</v>
      </c>
      <c r="R473" s="8">
        <f t="shared" si="143"/>
        <v>0</v>
      </c>
      <c r="S473" s="8">
        <f t="shared" si="144"/>
        <v>0</v>
      </c>
      <c r="T473" s="8">
        <f t="shared" si="145"/>
        <v>1</v>
      </c>
      <c r="V473" s="8">
        <f t="shared" si="146"/>
        <v>4</v>
      </c>
      <c r="W473">
        <f t="shared" si="147"/>
        <v>1</v>
      </c>
      <c r="Y473" t="str">
        <f t="shared" si="148"/>
        <v>fear</v>
      </c>
    </row>
    <row r="474" spans="2:25" x14ac:dyDescent="0.25">
      <c r="B474" s="5">
        <v>472</v>
      </c>
      <c r="C474" t="s">
        <v>3</v>
      </c>
      <c r="D474" t="s">
        <v>3</v>
      </c>
      <c r="E474" t="s">
        <v>3</v>
      </c>
      <c r="F474" t="s">
        <v>3</v>
      </c>
      <c r="G474" t="s">
        <v>8</v>
      </c>
      <c r="J474" s="19"/>
      <c r="K474" s="5">
        <v>472</v>
      </c>
      <c r="L474" s="8">
        <f t="shared" si="137"/>
        <v>4</v>
      </c>
      <c r="M474" s="8">
        <f t="shared" si="138"/>
        <v>0</v>
      </c>
      <c r="N474" s="8">
        <f t="shared" si="139"/>
        <v>0</v>
      </c>
      <c r="O474" s="8">
        <f t="shared" si="140"/>
        <v>0</v>
      </c>
      <c r="P474" s="8">
        <f t="shared" si="141"/>
        <v>0</v>
      </c>
      <c r="Q474" s="8">
        <f t="shared" si="142"/>
        <v>0</v>
      </c>
      <c r="R474" s="8">
        <f t="shared" si="143"/>
        <v>0</v>
      </c>
      <c r="S474" s="8">
        <f t="shared" si="144"/>
        <v>1</v>
      </c>
      <c r="T474" s="8">
        <f t="shared" si="145"/>
        <v>0</v>
      </c>
      <c r="V474" s="8">
        <f t="shared" si="146"/>
        <v>4</v>
      </c>
      <c r="W474">
        <f t="shared" si="147"/>
        <v>1</v>
      </c>
      <c r="Y474" t="str">
        <f t="shared" si="148"/>
        <v>joy</v>
      </c>
    </row>
    <row r="475" spans="2:25" x14ac:dyDescent="0.25">
      <c r="B475" s="5">
        <v>473</v>
      </c>
      <c r="C475" t="s">
        <v>3</v>
      </c>
      <c r="D475" t="s">
        <v>3</v>
      </c>
      <c r="E475" t="s">
        <v>3</v>
      </c>
      <c r="F475" t="s">
        <v>3</v>
      </c>
      <c r="G475" t="s">
        <v>8</v>
      </c>
      <c r="J475" s="19"/>
      <c r="K475" s="5">
        <v>473</v>
      </c>
      <c r="L475" s="8">
        <f t="shared" si="137"/>
        <v>4</v>
      </c>
      <c r="M475" s="8">
        <f t="shared" si="138"/>
        <v>0</v>
      </c>
      <c r="N475" s="8">
        <f t="shared" si="139"/>
        <v>0</v>
      </c>
      <c r="O475" s="8">
        <f t="shared" si="140"/>
        <v>0</v>
      </c>
      <c r="P475" s="8">
        <f t="shared" si="141"/>
        <v>0</v>
      </c>
      <c r="Q475" s="8">
        <f t="shared" si="142"/>
        <v>0</v>
      </c>
      <c r="R475" s="8">
        <f t="shared" si="143"/>
        <v>0</v>
      </c>
      <c r="S475" s="8">
        <f t="shared" si="144"/>
        <v>1</v>
      </c>
      <c r="T475" s="8">
        <f t="shared" si="145"/>
        <v>0</v>
      </c>
      <c r="V475" s="8">
        <f t="shared" si="146"/>
        <v>4</v>
      </c>
      <c r="W475">
        <f t="shared" si="147"/>
        <v>1</v>
      </c>
      <c r="Y475" t="str">
        <f t="shared" si="148"/>
        <v>joy</v>
      </c>
    </row>
    <row r="476" spans="2:25" x14ac:dyDescent="0.25">
      <c r="B476" s="5">
        <v>474</v>
      </c>
      <c r="C476" t="s">
        <v>6</v>
      </c>
      <c r="D476" t="s">
        <v>6</v>
      </c>
      <c r="E476" t="s">
        <v>0</v>
      </c>
      <c r="F476" t="s">
        <v>6</v>
      </c>
      <c r="G476" t="s">
        <v>6</v>
      </c>
      <c r="J476" s="19"/>
      <c r="K476" s="5">
        <v>474</v>
      </c>
      <c r="L476" s="8">
        <f t="shared" si="137"/>
        <v>0</v>
      </c>
      <c r="M476" s="8">
        <f t="shared" si="138"/>
        <v>0</v>
      </c>
      <c r="N476" s="8">
        <f t="shared" si="139"/>
        <v>4</v>
      </c>
      <c r="O476" s="8">
        <f t="shared" si="140"/>
        <v>0</v>
      </c>
      <c r="P476" s="8">
        <f t="shared" si="141"/>
        <v>0</v>
      </c>
      <c r="Q476" s="8">
        <f t="shared" si="142"/>
        <v>1</v>
      </c>
      <c r="R476" s="8">
        <f t="shared" si="143"/>
        <v>0</v>
      </c>
      <c r="S476" s="8">
        <f t="shared" si="144"/>
        <v>0</v>
      </c>
      <c r="T476" s="8">
        <f t="shared" si="145"/>
        <v>0</v>
      </c>
      <c r="V476" s="8">
        <f t="shared" si="146"/>
        <v>4</v>
      </c>
      <c r="W476">
        <f t="shared" si="147"/>
        <v>1</v>
      </c>
      <c r="Y476" t="str">
        <f t="shared" si="148"/>
        <v>fear</v>
      </c>
    </row>
    <row r="477" spans="2:25" x14ac:dyDescent="0.25">
      <c r="B477" s="5">
        <v>475</v>
      </c>
      <c r="C477" t="s">
        <v>6</v>
      </c>
      <c r="D477" t="s">
        <v>6</v>
      </c>
      <c r="E477" t="s">
        <v>6</v>
      </c>
      <c r="F477" t="s">
        <v>6</v>
      </c>
      <c r="G477" t="s">
        <v>8</v>
      </c>
      <c r="J477" s="19"/>
      <c r="K477" s="5">
        <v>475</v>
      </c>
      <c r="L477" s="8">
        <f t="shared" si="137"/>
        <v>0</v>
      </c>
      <c r="M477" s="8">
        <f t="shared" si="138"/>
        <v>0</v>
      </c>
      <c r="N477" s="8">
        <f t="shared" si="139"/>
        <v>4</v>
      </c>
      <c r="O477" s="8">
        <f t="shared" si="140"/>
        <v>0</v>
      </c>
      <c r="P477" s="8">
        <f t="shared" si="141"/>
        <v>0</v>
      </c>
      <c r="Q477" s="8">
        <f t="shared" si="142"/>
        <v>0</v>
      </c>
      <c r="R477" s="8">
        <f t="shared" si="143"/>
        <v>0</v>
      </c>
      <c r="S477" s="8">
        <f t="shared" si="144"/>
        <v>1</v>
      </c>
      <c r="T477" s="8">
        <f t="shared" si="145"/>
        <v>0</v>
      </c>
      <c r="V477" s="8">
        <f t="shared" si="146"/>
        <v>4</v>
      </c>
      <c r="W477">
        <f t="shared" si="147"/>
        <v>1</v>
      </c>
      <c r="Y477" t="str">
        <f t="shared" si="148"/>
        <v>fear</v>
      </c>
    </row>
    <row r="478" spans="2:25" x14ac:dyDescent="0.25">
      <c r="B478" s="5">
        <v>476</v>
      </c>
      <c r="C478" t="s">
        <v>4</v>
      </c>
      <c r="D478" t="s">
        <v>5</v>
      </c>
      <c r="E478" t="s">
        <v>5</v>
      </c>
      <c r="F478" t="s">
        <v>5</v>
      </c>
      <c r="G478" t="s">
        <v>1</v>
      </c>
      <c r="J478" s="19">
        <v>1</v>
      </c>
      <c r="K478" s="5">
        <v>476</v>
      </c>
      <c r="L478" s="8">
        <f t="shared" si="137"/>
        <v>0</v>
      </c>
      <c r="M478" s="8">
        <f t="shared" si="138"/>
        <v>1</v>
      </c>
      <c r="N478" s="8">
        <f t="shared" si="139"/>
        <v>0</v>
      </c>
      <c r="O478" s="8">
        <f t="shared" si="140"/>
        <v>0</v>
      </c>
      <c r="P478" s="8">
        <f t="shared" si="141"/>
        <v>3</v>
      </c>
      <c r="Q478" s="8">
        <f t="shared" si="142"/>
        <v>0</v>
      </c>
      <c r="R478" s="8">
        <f t="shared" si="143"/>
        <v>1</v>
      </c>
      <c r="S478" s="8">
        <f t="shared" si="144"/>
        <v>0</v>
      </c>
      <c r="T478" s="8">
        <f t="shared" si="145"/>
        <v>0</v>
      </c>
      <c r="V478" s="8">
        <f t="shared" si="146"/>
        <v>3</v>
      </c>
      <c r="W478">
        <f t="shared" si="147"/>
        <v>1</v>
      </c>
      <c r="Y478" t="str">
        <f t="shared" si="148"/>
        <v>sadness</v>
      </c>
    </row>
    <row r="479" spans="2:25" x14ac:dyDescent="0.25">
      <c r="B479" s="5">
        <v>477</v>
      </c>
      <c r="C479" t="s">
        <v>4</v>
      </c>
      <c r="D479" t="s">
        <v>4</v>
      </c>
      <c r="E479" t="s">
        <v>4</v>
      </c>
      <c r="F479" t="s">
        <v>4</v>
      </c>
      <c r="G479" t="s">
        <v>6</v>
      </c>
      <c r="J479" s="19"/>
      <c r="K479" s="5">
        <v>477</v>
      </c>
      <c r="L479" s="8">
        <f t="shared" si="137"/>
        <v>0</v>
      </c>
      <c r="M479" s="8">
        <f t="shared" si="138"/>
        <v>0</v>
      </c>
      <c r="N479" s="8">
        <f t="shared" si="139"/>
        <v>1</v>
      </c>
      <c r="O479" s="8">
        <f t="shared" si="140"/>
        <v>0</v>
      </c>
      <c r="P479" s="8">
        <f t="shared" si="141"/>
        <v>0</v>
      </c>
      <c r="Q479" s="8">
        <f t="shared" si="142"/>
        <v>0</v>
      </c>
      <c r="R479" s="8">
        <f t="shared" si="143"/>
        <v>4</v>
      </c>
      <c r="S479" s="8">
        <f t="shared" si="144"/>
        <v>0</v>
      </c>
      <c r="T479" s="8">
        <f t="shared" si="145"/>
        <v>0</v>
      </c>
      <c r="V479" s="8">
        <f t="shared" si="146"/>
        <v>4</v>
      </c>
      <c r="W479">
        <f t="shared" si="147"/>
        <v>1</v>
      </c>
      <c r="Y479" t="str">
        <f t="shared" si="148"/>
        <v>anger</v>
      </c>
    </row>
    <row r="480" spans="2:25" x14ac:dyDescent="0.25">
      <c r="B480" s="5">
        <v>478</v>
      </c>
      <c r="C480" t="s">
        <v>1</v>
      </c>
      <c r="D480" t="s">
        <v>1</v>
      </c>
      <c r="E480" t="s">
        <v>3</v>
      </c>
      <c r="F480" t="s">
        <v>1</v>
      </c>
      <c r="G480" t="s">
        <v>1</v>
      </c>
      <c r="J480" s="19"/>
      <c r="K480" s="5">
        <v>478</v>
      </c>
      <c r="L480" s="8">
        <f t="shared" si="137"/>
        <v>1</v>
      </c>
      <c r="M480" s="8">
        <f t="shared" si="138"/>
        <v>4</v>
      </c>
      <c r="N480" s="8">
        <f t="shared" si="139"/>
        <v>0</v>
      </c>
      <c r="O480" s="8">
        <f t="shared" si="140"/>
        <v>0</v>
      </c>
      <c r="P480" s="8">
        <f t="shared" si="141"/>
        <v>0</v>
      </c>
      <c r="Q480" s="8">
        <f t="shared" si="142"/>
        <v>0</v>
      </c>
      <c r="R480" s="8">
        <f t="shared" si="143"/>
        <v>0</v>
      </c>
      <c r="S480" s="8">
        <f t="shared" si="144"/>
        <v>0</v>
      </c>
      <c r="T480" s="8">
        <f t="shared" si="145"/>
        <v>0</v>
      </c>
      <c r="V480" s="8">
        <f t="shared" si="146"/>
        <v>4</v>
      </c>
      <c r="W480">
        <f t="shared" si="147"/>
        <v>1</v>
      </c>
      <c r="Y480" t="str">
        <f t="shared" si="148"/>
        <v>trust</v>
      </c>
    </row>
    <row r="481" spans="2:25" x14ac:dyDescent="0.25">
      <c r="B481" s="5">
        <v>479</v>
      </c>
      <c r="C481" t="s">
        <v>1</v>
      </c>
      <c r="D481" t="s">
        <v>8</v>
      </c>
      <c r="E481" t="s">
        <v>3</v>
      </c>
      <c r="F481" t="s">
        <v>8</v>
      </c>
      <c r="G481" t="s">
        <v>8</v>
      </c>
      <c r="J481" s="19">
        <v>1</v>
      </c>
      <c r="K481" s="5">
        <v>479</v>
      </c>
      <c r="L481" s="8">
        <f t="shared" si="137"/>
        <v>1</v>
      </c>
      <c r="M481" s="8">
        <f t="shared" si="138"/>
        <v>1</v>
      </c>
      <c r="N481" s="8">
        <f t="shared" si="139"/>
        <v>0</v>
      </c>
      <c r="O481" s="8">
        <f t="shared" si="140"/>
        <v>0</v>
      </c>
      <c r="P481" s="8">
        <f t="shared" si="141"/>
        <v>0</v>
      </c>
      <c r="Q481" s="8">
        <f t="shared" si="142"/>
        <v>0</v>
      </c>
      <c r="R481" s="8">
        <f t="shared" si="143"/>
        <v>0</v>
      </c>
      <c r="S481" s="8">
        <f t="shared" si="144"/>
        <v>3</v>
      </c>
      <c r="T481" s="8">
        <f t="shared" si="145"/>
        <v>0</v>
      </c>
      <c r="V481" s="8">
        <f t="shared" si="146"/>
        <v>3</v>
      </c>
      <c r="W481">
        <f t="shared" si="147"/>
        <v>1</v>
      </c>
      <c r="Y481" t="str">
        <f t="shared" si="148"/>
        <v>anticipation</v>
      </c>
    </row>
    <row r="482" spans="2:25" x14ac:dyDescent="0.25">
      <c r="B482" s="5">
        <v>480</v>
      </c>
      <c r="C482" t="s">
        <v>3</v>
      </c>
      <c r="D482" t="s">
        <v>3</v>
      </c>
      <c r="E482" t="s">
        <v>3</v>
      </c>
      <c r="F482" t="s">
        <v>3</v>
      </c>
      <c r="G482" t="s">
        <v>8</v>
      </c>
      <c r="J482" s="19"/>
      <c r="K482" s="5">
        <v>480</v>
      </c>
      <c r="L482" s="8">
        <f t="shared" si="137"/>
        <v>4</v>
      </c>
      <c r="M482" s="8">
        <f t="shared" si="138"/>
        <v>0</v>
      </c>
      <c r="N482" s="8">
        <f t="shared" si="139"/>
        <v>0</v>
      </c>
      <c r="O482" s="8">
        <f t="shared" si="140"/>
        <v>0</v>
      </c>
      <c r="P482" s="8">
        <f t="shared" si="141"/>
        <v>0</v>
      </c>
      <c r="Q482" s="8">
        <f t="shared" si="142"/>
        <v>0</v>
      </c>
      <c r="R482" s="8">
        <f t="shared" si="143"/>
        <v>0</v>
      </c>
      <c r="S482" s="8">
        <f t="shared" si="144"/>
        <v>1</v>
      </c>
      <c r="T482" s="8">
        <f t="shared" si="145"/>
        <v>0</v>
      </c>
      <c r="V482" s="8">
        <f t="shared" si="146"/>
        <v>4</v>
      </c>
      <c r="W482">
        <f t="shared" si="147"/>
        <v>1</v>
      </c>
      <c r="Y482" t="str">
        <f t="shared" si="148"/>
        <v>joy</v>
      </c>
    </row>
    <row r="483" spans="2:25" x14ac:dyDescent="0.25">
      <c r="B483" s="5">
        <v>481</v>
      </c>
      <c r="C483" t="s">
        <v>1</v>
      </c>
      <c r="D483" t="s">
        <v>1</v>
      </c>
      <c r="E483" t="s">
        <v>3</v>
      </c>
      <c r="F483" t="s">
        <v>1</v>
      </c>
      <c r="G483" t="s">
        <v>1</v>
      </c>
      <c r="J483" s="19"/>
      <c r="K483" s="5">
        <v>481</v>
      </c>
      <c r="L483" s="8">
        <f t="shared" si="137"/>
        <v>1</v>
      </c>
      <c r="M483" s="8">
        <f t="shared" si="138"/>
        <v>4</v>
      </c>
      <c r="N483" s="8">
        <f t="shared" si="139"/>
        <v>0</v>
      </c>
      <c r="O483" s="8">
        <f t="shared" si="140"/>
        <v>0</v>
      </c>
      <c r="P483" s="8">
        <f t="shared" si="141"/>
        <v>0</v>
      </c>
      <c r="Q483" s="8">
        <f t="shared" si="142"/>
        <v>0</v>
      </c>
      <c r="R483" s="8">
        <f t="shared" si="143"/>
        <v>0</v>
      </c>
      <c r="S483" s="8">
        <f t="shared" si="144"/>
        <v>0</v>
      </c>
      <c r="T483" s="8">
        <f t="shared" si="145"/>
        <v>0</v>
      </c>
      <c r="V483" s="8">
        <f t="shared" si="146"/>
        <v>4</v>
      </c>
      <c r="W483">
        <f t="shared" si="147"/>
        <v>1</v>
      </c>
      <c r="Y483" t="str">
        <f t="shared" si="148"/>
        <v>trust</v>
      </c>
    </row>
    <row r="484" spans="2:25" x14ac:dyDescent="0.25">
      <c r="B484" s="5">
        <v>482</v>
      </c>
      <c r="C484" t="s">
        <v>1</v>
      </c>
      <c r="D484" t="s">
        <v>1</v>
      </c>
      <c r="E484" t="s">
        <v>3</v>
      </c>
      <c r="F484" t="s">
        <v>1</v>
      </c>
      <c r="G484" t="s">
        <v>6</v>
      </c>
      <c r="J484" s="19">
        <v>1</v>
      </c>
      <c r="K484" s="5">
        <v>482</v>
      </c>
      <c r="L484" s="8">
        <f t="shared" si="137"/>
        <v>1</v>
      </c>
      <c r="M484" s="8">
        <f t="shared" si="138"/>
        <v>3</v>
      </c>
      <c r="N484" s="8">
        <f t="shared" si="139"/>
        <v>1</v>
      </c>
      <c r="O484" s="8">
        <f t="shared" si="140"/>
        <v>0</v>
      </c>
      <c r="P484" s="8">
        <f t="shared" si="141"/>
        <v>0</v>
      </c>
      <c r="Q484" s="8">
        <f t="shared" si="142"/>
        <v>0</v>
      </c>
      <c r="R484" s="8">
        <f t="shared" si="143"/>
        <v>0</v>
      </c>
      <c r="S484" s="8">
        <f t="shared" si="144"/>
        <v>0</v>
      </c>
      <c r="T484" s="8">
        <f t="shared" si="145"/>
        <v>0</v>
      </c>
      <c r="V484" s="8">
        <f t="shared" si="146"/>
        <v>3</v>
      </c>
      <c r="W484">
        <f t="shared" si="147"/>
        <v>1</v>
      </c>
      <c r="Y484" t="str">
        <f t="shared" si="148"/>
        <v>trust</v>
      </c>
    </row>
    <row r="485" spans="2:25" x14ac:dyDescent="0.25">
      <c r="B485" s="5">
        <v>483</v>
      </c>
      <c r="C485" t="s">
        <v>3</v>
      </c>
      <c r="D485" t="s">
        <v>3</v>
      </c>
      <c r="E485" t="s">
        <v>3</v>
      </c>
      <c r="F485" t="s">
        <v>3</v>
      </c>
      <c r="G485" t="s">
        <v>1</v>
      </c>
      <c r="J485" s="19"/>
      <c r="K485" s="5">
        <v>483</v>
      </c>
      <c r="L485" s="8">
        <f t="shared" si="137"/>
        <v>4</v>
      </c>
      <c r="M485" s="8">
        <f t="shared" si="138"/>
        <v>1</v>
      </c>
      <c r="N485" s="8">
        <f t="shared" si="139"/>
        <v>0</v>
      </c>
      <c r="O485" s="8">
        <f t="shared" si="140"/>
        <v>0</v>
      </c>
      <c r="P485" s="8">
        <f t="shared" si="141"/>
        <v>0</v>
      </c>
      <c r="Q485" s="8">
        <f t="shared" si="142"/>
        <v>0</v>
      </c>
      <c r="R485" s="8">
        <f t="shared" si="143"/>
        <v>0</v>
      </c>
      <c r="S485" s="8">
        <f t="shared" si="144"/>
        <v>0</v>
      </c>
      <c r="T485" s="8">
        <f t="shared" si="145"/>
        <v>0</v>
      </c>
      <c r="V485" s="8">
        <f t="shared" si="146"/>
        <v>4</v>
      </c>
      <c r="W485">
        <f t="shared" si="147"/>
        <v>1</v>
      </c>
      <c r="Y485" t="str">
        <f t="shared" si="148"/>
        <v>joy</v>
      </c>
    </row>
    <row r="486" spans="2:25" x14ac:dyDescent="0.25">
      <c r="B486" s="5">
        <v>484</v>
      </c>
      <c r="C486" t="s">
        <v>1</v>
      </c>
      <c r="D486" t="s">
        <v>1</v>
      </c>
      <c r="E486" t="s">
        <v>3</v>
      </c>
      <c r="F486" t="s">
        <v>1</v>
      </c>
      <c r="G486" t="s">
        <v>1</v>
      </c>
      <c r="J486" s="19"/>
      <c r="K486" s="5">
        <v>484</v>
      </c>
      <c r="L486" s="8">
        <f t="shared" si="137"/>
        <v>1</v>
      </c>
      <c r="M486" s="8">
        <f t="shared" si="138"/>
        <v>4</v>
      </c>
      <c r="N486" s="8">
        <f t="shared" si="139"/>
        <v>0</v>
      </c>
      <c r="O486" s="8">
        <f t="shared" si="140"/>
        <v>0</v>
      </c>
      <c r="P486" s="8">
        <f t="shared" si="141"/>
        <v>0</v>
      </c>
      <c r="Q486" s="8">
        <f t="shared" si="142"/>
        <v>0</v>
      </c>
      <c r="R486" s="8">
        <f t="shared" si="143"/>
        <v>0</v>
      </c>
      <c r="S486" s="8">
        <f t="shared" si="144"/>
        <v>0</v>
      </c>
      <c r="T486" s="8">
        <f t="shared" si="145"/>
        <v>0</v>
      </c>
      <c r="V486" s="8">
        <f t="shared" si="146"/>
        <v>4</v>
      </c>
      <c r="W486">
        <f t="shared" si="147"/>
        <v>1</v>
      </c>
      <c r="Y486" t="str">
        <f t="shared" si="148"/>
        <v>trust</v>
      </c>
    </row>
    <row r="487" spans="2:25" x14ac:dyDescent="0.25">
      <c r="B487" s="5">
        <v>485</v>
      </c>
      <c r="C487" t="s">
        <v>3</v>
      </c>
      <c r="D487" t="s">
        <v>3</v>
      </c>
      <c r="E487" t="s">
        <v>3</v>
      </c>
      <c r="F487" t="s">
        <v>3</v>
      </c>
      <c r="G487" t="s">
        <v>5</v>
      </c>
      <c r="J487" s="19"/>
      <c r="K487" s="5">
        <v>485</v>
      </c>
      <c r="L487" s="8">
        <f t="shared" si="137"/>
        <v>4</v>
      </c>
      <c r="M487" s="8">
        <f t="shared" si="138"/>
        <v>0</v>
      </c>
      <c r="N487" s="8">
        <f t="shared" si="139"/>
        <v>0</v>
      </c>
      <c r="O487" s="8">
        <f t="shared" si="140"/>
        <v>0</v>
      </c>
      <c r="P487" s="8">
        <f t="shared" si="141"/>
        <v>1</v>
      </c>
      <c r="Q487" s="8">
        <f t="shared" si="142"/>
        <v>0</v>
      </c>
      <c r="R487" s="8">
        <f t="shared" si="143"/>
        <v>0</v>
      </c>
      <c r="S487" s="8">
        <f t="shared" si="144"/>
        <v>0</v>
      </c>
      <c r="T487" s="8">
        <f t="shared" si="145"/>
        <v>0</v>
      </c>
      <c r="V487" s="8">
        <f t="shared" si="146"/>
        <v>4</v>
      </c>
      <c r="W487">
        <f t="shared" si="147"/>
        <v>1</v>
      </c>
      <c r="Y487" t="str">
        <f t="shared" si="148"/>
        <v>joy</v>
      </c>
    </row>
    <row r="488" spans="2:25" x14ac:dyDescent="0.25">
      <c r="B488" s="5">
        <v>486</v>
      </c>
      <c r="C488" t="s">
        <v>3</v>
      </c>
      <c r="D488" t="s">
        <v>3</v>
      </c>
      <c r="E488" t="s">
        <v>3</v>
      </c>
      <c r="F488" t="s">
        <v>3</v>
      </c>
      <c r="G488" t="s">
        <v>1</v>
      </c>
      <c r="J488" s="19"/>
      <c r="K488" s="5">
        <v>486</v>
      </c>
      <c r="L488" s="8">
        <f t="shared" si="137"/>
        <v>4</v>
      </c>
      <c r="M488" s="8">
        <f t="shared" si="138"/>
        <v>1</v>
      </c>
      <c r="N488" s="8">
        <f t="shared" si="139"/>
        <v>0</v>
      </c>
      <c r="O488" s="8">
        <f t="shared" si="140"/>
        <v>0</v>
      </c>
      <c r="P488" s="8">
        <f t="shared" si="141"/>
        <v>0</v>
      </c>
      <c r="Q488" s="8">
        <f t="shared" si="142"/>
        <v>0</v>
      </c>
      <c r="R488" s="8">
        <f t="shared" si="143"/>
        <v>0</v>
      </c>
      <c r="S488" s="8">
        <f t="shared" si="144"/>
        <v>0</v>
      </c>
      <c r="T488" s="8">
        <f t="shared" si="145"/>
        <v>0</v>
      </c>
      <c r="V488" s="8">
        <f t="shared" si="146"/>
        <v>4</v>
      </c>
      <c r="W488">
        <f t="shared" si="147"/>
        <v>1</v>
      </c>
      <c r="Y488" t="str">
        <f t="shared" si="148"/>
        <v>joy</v>
      </c>
    </row>
    <row r="489" spans="2:25" x14ac:dyDescent="0.25">
      <c r="B489" s="5">
        <v>487</v>
      </c>
      <c r="C489" t="s">
        <v>1</v>
      </c>
      <c r="D489" t="s">
        <v>1</v>
      </c>
      <c r="E489" t="s">
        <v>3</v>
      </c>
      <c r="F489" t="s">
        <v>1</v>
      </c>
      <c r="G489" t="s">
        <v>1</v>
      </c>
      <c r="J489" s="19"/>
      <c r="K489" s="5">
        <v>487</v>
      </c>
      <c r="L489" s="8">
        <f t="shared" si="137"/>
        <v>1</v>
      </c>
      <c r="M489" s="8">
        <f t="shared" si="138"/>
        <v>4</v>
      </c>
      <c r="N489" s="8">
        <f t="shared" si="139"/>
        <v>0</v>
      </c>
      <c r="O489" s="8">
        <f t="shared" si="140"/>
        <v>0</v>
      </c>
      <c r="P489" s="8">
        <f t="shared" si="141"/>
        <v>0</v>
      </c>
      <c r="Q489" s="8">
        <f t="shared" si="142"/>
        <v>0</v>
      </c>
      <c r="R489" s="8">
        <f t="shared" si="143"/>
        <v>0</v>
      </c>
      <c r="S489" s="8">
        <f t="shared" si="144"/>
        <v>0</v>
      </c>
      <c r="T489" s="8">
        <f t="shared" si="145"/>
        <v>0</v>
      </c>
      <c r="V489" s="8">
        <f t="shared" si="146"/>
        <v>4</v>
      </c>
      <c r="W489">
        <f t="shared" si="147"/>
        <v>1</v>
      </c>
      <c r="Y489" t="str">
        <f t="shared" si="148"/>
        <v>trust</v>
      </c>
    </row>
    <row r="490" spans="2:25" x14ac:dyDescent="0.25">
      <c r="B490" s="5">
        <v>488</v>
      </c>
      <c r="C490" t="s">
        <v>3</v>
      </c>
      <c r="D490" t="s">
        <v>3</v>
      </c>
      <c r="E490" t="s">
        <v>3</v>
      </c>
      <c r="F490" t="s">
        <v>3</v>
      </c>
      <c r="G490" t="s">
        <v>1</v>
      </c>
      <c r="J490" s="19"/>
      <c r="K490" s="5">
        <v>488</v>
      </c>
      <c r="L490" s="8">
        <f t="shared" si="137"/>
        <v>4</v>
      </c>
      <c r="M490" s="8">
        <f t="shared" si="138"/>
        <v>1</v>
      </c>
      <c r="N490" s="8">
        <f t="shared" si="139"/>
        <v>0</v>
      </c>
      <c r="O490" s="8">
        <f t="shared" si="140"/>
        <v>0</v>
      </c>
      <c r="P490" s="8">
        <f t="shared" si="141"/>
        <v>0</v>
      </c>
      <c r="Q490" s="8">
        <f t="shared" si="142"/>
        <v>0</v>
      </c>
      <c r="R490" s="8">
        <f t="shared" si="143"/>
        <v>0</v>
      </c>
      <c r="S490" s="8">
        <f t="shared" si="144"/>
        <v>0</v>
      </c>
      <c r="T490" s="8">
        <f t="shared" si="145"/>
        <v>0</v>
      </c>
      <c r="V490" s="8">
        <f t="shared" si="146"/>
        <v>4</v>
      </c>
      <c r="W490">
        <f t="shared" si="147"/>
        <v>1</v>
      </c>
      <c r="Y490" t="str">
        <f t="shared" si="148"/>
        <v>joy</v>
      </c>
    </row>
    <row r="491" spans="2:25" x14ac:dyDescent="0.25">
      <c r="B491" s="5">
        <v>489</v>
      </c>
      <c r="C491" t="s">
        <v>3</v>
      </c>
      <c r="D491" t="s">
        <v>3</v>
      </c>
      <c r="E491" t="s">
        <v>3</v>
      </c>
      <c r="F491" t="s">
        <v>3</v>
      </c>
      <c r="G491" t="s">
        <v>8</v>
      </c>
      <c r="J491" s="19"/>
      <c r="K491" s="5">
        <v>489</v>
      </c>
      <c r="L491" s="8">
        <f t="shared" si="137"/>
        <v>4</v>
      </c>
      <c r="M491" s="8">
        <f t="shared" si="138"/>
        <v>0</v>
      </c>
      <c r="N491" s="8">
        <f t="shared" si="139"/>
        <v>0</v>
      </c>
      <c r="O491" s="8">
        <f t="shared" si="140"/>
        <v>0</v>
      </c>
      <c r="P491" s="8">
        <f t="shared" si="141"/>
        <v>0</v>
      </c>
      <c r="Q491" s="8">
        <f t="shared" si="142"/>
        <v>0</v>
      </c>
      <c r="R491" s="8">
        <f t="shared" si="143"/>
        <v>0</v>
      </c>
      <c r="S491" s="8">
        <f t="shared" si="144"/>
        <v>1</v>
      </c>
      <c r="T491" s="8">
        <f t="shared" si="145"/>
        <v>0</v>
      </c>
      <c r="V491" s="8">
        <f t="shared" si="146"/>
        <v>4</v>
      </c>
      <c r="W491">
        <f t="shared" si="147"/>
        <v>1</v>
      </c>
      <c r="Y491" t="str">
        <f t="shared" si="148"/>
        <v>joy</v>
      </c>
    </row>
    <row r="492" spans="2:25" x14ac:dyDescent="0.25">
      <c r="B492" s="5">
        <v>490</v>
      </c>
      <c r="C492" t="s">
        <v>1</v>
      </c>
      <c r="D492" t="s">
        <v>8</v>
      </c>
      <c r="E492" t="s">
        <v>3</v>
      </c>
      <c r="F492" t="s">
        <v>8</v>
      </c>
      <c r="G492" t="s">
        <v>8</v>
      </c>
      <c r="J492" s="19">
        <v>1</v>
      </c>
      <c r="K492" s="5">
        <v>490</v>
      </c>
      <c r="L492" s="8">
        <f t="shared" si="137"/>
        <v>1</v>
      </c>
      <c r="M492" s="8">
        <f t="shared" si="138"/>
        <v>1</v>
      </c>
      <c r="N492" s="8">
        <f t="shared" si="139"/>
        <v>0</v>
      </c>
      <c r="O492" s="8">
        <f t="shared" si="140"/>
        <v>0</v>
      </c>
      <c r="P492" s="8">
        <f t="shared" si="141"/>
        <v>0</v>
      </c>
      <c r="Q492" s="8">
        <f t="shared" si="142"/>
        <v>0</v>
      </c>
      <c r="R492" s="8">
        <f t="shared" si="143"/>
        <v>0</v>
      </c>
      <c r="S492" s="8">
        <f t="shared" si="144"/>
        <v>3</v>
      </c>
      <c r="T492" s="8">
        <f t="shared" si="145"/>
        <v>0</v>
      </c>
      <c r="V492" s="8">
        <f t="shared" si="146"/>
        <v>3</v>
      </c>
      <c r="W492">
        <f t="shared" si="147"/>
        <v>1</v>
      </c>
      <c r="Y492" t="str">
        <f t="shared" si="148"/>
        <v>anticipation</v>
      </c>
    </row>
    <row r="493" spans="2:25" x14ac:dyDescent="0.25">
      <c r="B493" s="5">
        <v>491</v>
      </c>
      <c r="C493" t="s">
        <v>1</v>
      </c>
      <c r="D493" t="s">
        <v>3</v>
      </c>
      <c r="E493" t="s">
        <v>3</v>
      </c>
      <c r="F493" t="s">
        <v>3</v>
      </c>
      <c r="G493" t="s">
        <v>8</v>
      </c>
      <c r="J493" s="19">
        <v>1</v>
      </c>
      <c r="K493" s="5">
        <v>491</v>
      </c>
      <c r="L493" s="8">
        <f t="shared" si="137"/>
        <v>3</v>
      </c>
      <c r="M493" s="8">
        <f t="shared" si="138"/>
        <v>1</v>
      </c>
      <c r="N493" s="8">
        <f t="shared" si="139"/>
        <v>0</v>
      </c>
      <c r="O493" s="8">
        <f t="shared" si="140"/>
        <v>0</v>
      </c>
      <c r="P493" s="8">
        <f t="shared" si="141"/>
        <v>0</v>
      </c>
      <c r="Q493" s="8">
        <f t="shared" si="142"/>
        <v>0</v>
      </c>
      <c r="R493" s="8">
        <f t="shared" si="143"/>
        <v>0</v>
      </c>
      <c r="S493" s="8">
        <f t="shared" si="144"/>
        <v>1</v>
      </c>
      <c r="T493" s="8">
        <f t="shared" si="145"/>
        <v>0</v>
      </c>
      <c r="V493" s="8">
        <f t="shared" si="146"/>
        <v>3</v>
      </c>
      <c r="W493">
        <f t="shared" si="147"/>
        <v>1</v>
      </c>
      <c r="Y493" t="str">
        <f t="shared" si="148"/>
        <v>joy</v>
      </c>
    </row>
    <row r="494" spans="2:25" x14ac:dyDescent="0.25">
      <c r="B494" s="5">
        <v>492</v>
      </c>
      <c r="C494" t="s">
        <v>1</v>
      </c>
      <c r="D494" t="s">
        <v>3</v>
      </c>
      <c r="E494" t="s">
        <v>3</v>
      </c>
      <c r="F494" t="s">
        <v>3</v>
      </c>
      <c r="G494" t="s">
        <v>8</v>
      </c>
      <c r="J494" s="19">
        <v>1</v>
      </c>
      <c r="K494" s="5">
        <v>492</v>
      </c>
      <c r="L494" s="8">
        <f t="shared" si="137"/>
        <v>3</v>
      </c>
      <c r="M494" s="8">
        <f t="shared" si="138"/>
        <v>1</v>
      </c>
      <c r="N494" s="8">
        <f t="shared" si="139"/>
        <v>0</v>
      </c>
      <c r="O494" s="8">
        <f t="shared" si="140"/>
        <v>0</v>
      </c>
      <c r="P494" s="8">
        <f t="shared" si="141"/>
        <v>0</v>
      </c>
      <c r="Q494" s="8">
        <f t="shared" si="142"/>
        <v>0</v>
      </c>
      <c r="R494" s="8">
        <f t="shared" si="143"/>
        <v>0</v>
      </c>
      <c r="S494" s="8">
        <f t="shared" si="144"/>
        <v>1</v>
      </c>
      <c r="T494" s="8">
        <f t="shared" si="145"/>
        <v>0</v>
      </c>
      <c r="V494" s="8">
        <f t="shared" si="146"/>
        <v>3</v>
      </c>
      <c r="W494">
        <f t="shared" si="147"/>
        <v>1</v>
      </c>
      <c r="Y494" t="str">
        <f t="shared" si="148"/>
        <v>joy</v>
      </c>
    </row>
    <row r="495" spans="2:25" x14ac:dyDescent="0.25">
      <c r="B495" s="5">
        <v>493</v>
      </c>
      <c r="C495" t="s">
        <v>1</v>
      </c>
      <c r="D495" t="s">
        <v>1</v>
      </c>
      <c r="E495" t="s">
        <v>3</v>
      </c>
      <c r="F495" t="s">
        <v>1</v>
      </c>
      <c r="G495" t="s">
        <v>1</v>
      </c>
      <c r="J495" s="19"/>
      <c r="K495" s="5">
        <v>493</v>
      </c>
      <c r="L495" s="8">
        <f t="shared" si="137"/>
        <v>1</v>
      </c>
      <c r="M495" s="8">
        <f t="shared" si="138"/>
        <v>4</v>
      </c>
      <c r="N495" s="8">
        <f t="shared" si="139"/>
        <v>0</v>
      </c>
      <c r="O495" s="8">
        <f t="shared" si="140"/>
        <v>0</v>
      </c>
      <c r="P495" s="8">
        <f t="shared" si="141"/>
        <v>0</v>
      </c>
      <c r="Q495" s="8">
        <f t="shared" si="142"/>
        <v>0</v>
      </c>
      <c r="R495" s="8">
        <f t="shared" si="143"/>
        <v>0</v>
      </c>
      <c r="S495" s="8">
        <f t="shared" si="144"/>
        <v>0</v>
      </c>
      <c r="T495" s="8">
        <f t="shared" si="145"/>
        <v>0</v>
      </c>
      <c r="V495" s="8">
        <f t="shared" si="146"/>
        <v>4</v>
      </c>
      <c r="W495">
        <f t="shared" si="147"/>
        <v>1</v>
      </c>
      <c r="Y495" t="str">
        <f t="shared" si="148"/>
        <v>trust</v>
      </c>
    </row>
    <row r="496" spans="2:25" x14ac:dyDescent="0.25">
      <c r="B496" s="5">
        <v>494</v>
      </c>
      <c r="C496" t="s">
        <v>3</v>
      </c>
      <c r="D496" t="s">
        <v>3</v>
      </c>
      <c r="E496" t="s">
        <v>3</v>
      </c>
      <c r="F496" t="s">
        <v>3</v>
      </c>
      <c r="G496" t="s">
        <v>7</v>
      </c>
      <c r="J496" s="19"/>
      <c r="K496" s="5">
        <v>494</v>
      </c>
      <c r="L496" s="8">
        <f t="shared" si="137"/>
        <v>4</v>
      </c>
      <c r="M496" s="8">
        <f t="shared" si="138"/>
        <v>0</v>
      </c>
      <c r="N496" s="8">
        <f t="shared" si="139"/>
        <v>0</v>
      </c>
      <c r="O496" s="8">
        <f t="shared" si="140"/>
        <v>1</v>
      </c>
      <c r="P496" s="8">
        <f t="shared" si="141"/>
        <v>0</v>
      </c>
      <c r="Q496" s="8">
        <f t="shared" si="142"/>
        <v>0</v>
      </c>
      <c r="R496" s="8">
        <f t="shared" si="143"/>
        <v>0</v>
      </c>
      <c r="S496" s="8">
        <f t="shared" si="144"/>
        <v>0</v>
      </c>
      <c r="T496" s="8">
        <f t="shared" si="145"/>
        <v>0</v>
      </c>
      <c r="V496" s="8">
        <f t="shared" si="146"/>
        <v>4</v>
      </c>
      <c r="W496">
        <f t="shared" si="147"/>
        <v>1</v>
      </c>
      <c r="Y496" t="str">
        <f t="shared" si="148"/>
        <v>joy</v>
      </c>
    </row>
    <row r="497" spans="2:25" x14ac:dyDescent="0.25">
      <c r="B497" s="5">
        <v>495</v>
      </c>
      <c r="C497" t="s">
        <v>3</v>
      </c>
      <c r="D497" t="s">
        <v>3</v>
      </c>
      <c r="E497" t="s">
        <v>3</v>
      </c>
      <c r="F497" t="s">
        <v>3</v>
      </c>
      <c r="G497" t="s">
        <v>7</v>
      </c>
      <c r="J497" s="19"/>
      <c r="K497" s="5">
        <v>495</v>
      </c>
      <c r="L497" s="8">
        <f t="shared" si="137"/>
        <v>4</v>
      </c>
      <c r="M497" s="8">
        <f t="shared" si="138"/>
        <v>0</v>
      </c>
      <c r="N497" s="8">
        <f t="shared" si="139"/>
        <v>0</v>
      </c>
      <c r="O497" s="8">
        <f t="shared" si="140"/>
        <v>1</v>
      </c>
      <c r="P497" s="8">
        <f t="shared" si="141"/>
        <v>0</v>
      </c>
      <c r="Q497" s="8">
        <f t="shared" si="142"/>
        <v>0</v>
      </c>
      <c r="R497" s="8">
        <f t="shared" si="143"/>
        <v>0</v>
      </c>
      <c r="S497" s="8">
        <f t="shared" si="144"/>
        <v>0</v>
      </c>
      <c r="T497" s="8">
        <f t="shared" si="145"/>
        <v>0</v>
      </c>
      <c r="V497" s="8">
        <f t="shared" si="146"/>
        <v>4</v>
      </c>
      <c r="W497">
        <f t="shared" si="147"/>
        <v>1</v>
      </c>
      <c r="Y497" t="str">
        <f t="shared" si="148"/>
        <v>joy</v>
      </c>
    </row>
    <row r="498" spans="2:25" x14ac:dyDescent="0.25">
      <c r="B498" s="5">
        <v>496</v>
      </c>
      <c r="C498" t="s">
        <v>6</v>
      </c>
      <c r="D498" t="s">
        <v>6</v>
      </c>
      <c r="E498" t="s">
        <v>3</v>
      </c>
      <c r="F498" t="s">
        <v>6</v>
      </c>
      <c r="G498" t="s">
        <v>6</v>
      </c>
      <c r="J498" s="19"/>
      <c r="K498" s="5">
        <v>496</v>
      </c>
      <c r="L498" s="8">
        <f t="shared" si="137"/>
        <v>1</v>
      </c>
      <c r="M498" s="8">
        <f t="shared" si="138"/>
        <v>0</v>
      </c>
      <c r="N498" s="8">
        <f t="shared" si="139"/>
        <v>4</v>
      </c>
      <c r="O498" s="8">
        <f t="shared" si="140"/>
        <v>0</v>
      </c>
      <c r="P498" s="8">
        <f t="shared" si="141"/>
        <v>0</v>
      </c>
      <c r="Q498" s="8">
        <f t="shared" si="142"/>
        <v>0</v>
      </c>
      <c r="R498" s="8">
        <f t="shared" si="143"/>
        <v>0</v>
      </c>
      <c r="S498" s="8">
        <f t="shared" si="144"/>
        <v>0</v>
      </c>
      <c r="T498" s="8">
        <f t="shared" si="145"/>
        <v>0</v>
      </c>
      <c r="V498" s="8">
        <f t="shared" si="146"/>
        <v>4</v>
      </c>
      <c r="W498">
        <f t="shared" si="147"/>
        <v>1</v>
      </c>
      <c r="Y498" t="str">
        <f t="shared" si="148"/>
        <v>fear</v>
      </c>
    </row>
    <row r="499" spans="2:25" x14ac:dyDescent="0.25">
      <c r="B499" s="5">
        <v>497</v>
      </c>
      <c r="C499" t="s">
        <v>6</v>
      </c>
      <c r="D499" t="s">
        <v>6</v>
      </c>
      <c r="E499" t="s">
        <v>3</v>
      </c>
      <c r="F499" t="s">
        <v>6</v>
      </c>
      <c r="G499" t="s">
        <v>6</v>
      </c>
      <c r="J499" s="19"/>
      <c r="K499" s="5">
        <v>497</v>
      </c>
      <c r="L499" s="8">
        <f t="shared" si="137"/>
        <v>1</v>
      </c>
      <c r="M499" s="8">
        <f t="shared" si="138"/>
        <v>0</v>
      </c>
      <c r="N499" s="8">
        <f t="shared" si="139"/>
        <v>4</v>
      </c>
      <c r="O499" s="8">
        <f t="shared" si="140"/>
        <v>0</v>
      </c>
      <c r="P499" s="8">
        <f t="shared" si="141"/>
        <v>0</v>
      </c>
      <c r="Q499" s="8">
        <f t="shared" si="142"/>
        <v>0</v>
      </c>
      <c r="R499" s="8">
        <f t="shared" si="143"/>
        <v>0</v>
      </c>
      <c r="S499" s="8">
        <f t="shared" si="144"/>
        <v>0</v>
      </c>
      <c r="T499" s="8">
        <f t="shared" si="145"/>
        <v>0</v>
      </c>
      <c r="V499" s="8">
        <f t="shared" si="146"/>
        <v>4</v>
      </c>
      <c r="W499">
        <f t="shared" si="147"/>
        <v>1</v>
      </c>
      <c r="Y499" t="str">
        <f t="shared" si="148"/>
        <v>fear</v>
      </c>
    </row>
    <row r="500" spans="2:25" x14ac:dyDescent="0.25">
      <c r="B500" s="5">
        <v>498</v>
      </c>
      <c r="C500" t="s">
        <v>3</v>
      </c>
      <c r="D500" t="s">
        <v>3</v>
      </c>
      <c r="E500" t="s">
        <v>3</v>
      </c>
      <c r="F500" t="s">
        <v>3</v>
      </c>
      <c r="G500" t="s">
        <v>8</v>
      </c>
      <c r="J500" s="19"/>
      <c r="K500" s="5">
        <v>498</v>
      </c>
      <c r="L500" s="8">
        <f t="shared" si="137"/>
        <v>4</v>
      </c>
      <c r="M500" s="8">
        <f t="shared" si="138"/>
        <v>0</v>
      </c>
      <c r="N500" s="8">
        <f t="shared" si="139"/>
        <v>0</v>
      </c>
      <c r="O500" s="8">
        <f t="shared" si="140"/>
        <v>0</v>
      </c>
      <c r="P500" s="8">
        <f t="shared" si="141"/>
        <v>0</v>
      </c>
      <c r="Q500" s="8">
        <f t="shared" si="142"/>
        <v>0</v>
      </c>
      <c r="R500" s="8">
        <f t="shared" si="143"/>
        <v>0</v>
      </c>
      <c r="S500" s="8">
        <f t="shared" si="144"/>
        <v>1</v>
      </c>
      <c r="T500" s="8">
        <f t="shared" si="145"/>
        <v>0</v>
      </c>
      <c r="V500" s="8">
        <f t="shared" si="146"/>
        <v>4</v>
      </c>
      <c r="W500">
        <f t="shared" si="147"/>
        <v>1</v>
      </c>
      <c r="Y500" t="str">
        <f t="shared" si="148"/>
        <v>joy</v>
      </c>
    </row>
    <row r="501" spans="2:25" x14ac:dyDescent="0.25">
      <c r="B501" s="5">
        <v>499</v>
      </c>
      <c r="C501" t="s">
        <v>1</v>
      </c>
      <c r="D501" t="s">
        <v>3</v>
      </c>
      <c r="E501" t="s">
        <v>3</v>
      </c>
      <c r="F501" t="s">
        <v>3</v>
      </c>
      <c r="G501" t="s">
        <v>7</v>
      </c>
      <c r="J501" s="19">
        <v>1</v>
      </c>
      <c r="K501" s="5">
        <v>499</v>
      </c>
      <c r="L501" s="8">
        <f t="shared" si="137"/>
        <v>3</v>
      </c>
      <c r="M501" s="8">
        <f t="shared" si="138"/>
        <v>1</v>
      </c>
      <c r="N501" s="8">
        <f t="shared" si="139"/>
        <v>0</v>
      </c>
      <c r="O501" s="8">
        <f t="shared" si="140"/>
        <v>1</v>
      </c>
      <c r="P501" s="8">
        <f t="shared" si="141"/>
        <v>0</v>
      </c>
      <c r="Q501" s="8">
        <f t="shared" si="142"/>
        <v>0</v>
      </c>
      <c r="R501" s="8">
        <f t="shared" si="143"/>
        <v>0</v>
      </c>
      <c r="S501" s="8">
        <f t="shared" si="144"/>
        <v>0</v>
      </c>
      <c r="T501" s="8">
        <f t="shared" si="145"/>
        <v>0</v>
      </c>
      <c r="V501" s="8">
        <f t="shared" si="146"/>
        <v>3</v>
      </c>
      <c r="W501">
        <f t="shared" si="147"/>
        <v>1</v>
      </c>
      <c r="Y501" t="str">
        <f t="shared" si="148"/>
        <v>joy</v>
      </c>
    </row>
    <row r="502" spans="2:25" x14ac:dyDescent="0.25">
      <c r="B502" s="5">
        <v>500</v>
      </c>
      <c r="C502" t="s">
        <v>1</v>
      </c>
      <c r="D502" t="s">
        <v>1</v>
      </c>
      <c r="E502" t="s">
        <v>3</v>
      </c>
      <c r="F502" t="s">
        <v>1</v>
      </c>
      <c r="G502" t="s">
        <v>1</v>
      </c>
      <c r="J502" s="19"/>
      <c r="K502" s="5">
        <v>500</v>
      </c>
      <c r="L502" s="8">
        <f t="shared" si="137"/>
        <v>1</v>
      </c>
      <c r="M502" s="8">
        <f t="shared" si="138"/>
        <v>4</v>
      </c>
      <c r="N502" s="8">
        <f t="shared" si="139"/>
        <v>0</v>
      </c>
      <c r="O502" s="8">
        <f t="shared" si="140"/>
        <v>0</v>
      </c>
      <c r="P502" s="8">
        <f t="shared" si="141"/>
        <v>0</v>
      </c>
      <c r="Q502" s="8">
        <f t="shared" si="142"/>
        <v>0</v>
      </c>
      <c r="R502" s="8">
        <f t="shared" si="143"/>
        <v>0</v>
      </c>
      <c r="S502" s="8">
        <f t="shared" si="144"/>
        <v>0</v>
      </c>
      <c r="T502" s="8">
        <f t="shared" si="145"/>
        <v>0</v>
      </c>
      <c r="V502" s="8">
        <f t="shared" si="146"/>
        <v>4</v>
      </c>
      <c r="W502">
        <f t="shared" si="147"/>
        <v>1</v>
      </c>
      <c r="Y502" t="str">
        <f t="shared" si="148"/>
        <v>trust</v>
      </c>
    </row>
    <row r="503" spans="2:25" x14ac:dyDescent="0.25">
      <c r="B503" s="5">
        <v>501</v>
      </c>
      <c r="C503" t="s">
        <v>6</v>
      </c>
      <c r="D503" t="s">
        <v>6</v>
      </c>
      <c r="E503" t="s">
        <v>5</v>
      </c>
      <c r="F503" t="s">
        <v>6</v>
      </c>
      <c r="G503" t="s">
        <v>6</v>
      </c>
      <c r="J503" s="19"/>
      <c r="K503" s="5">
        <v>501</v>
      </c>
      <c r="L503" s="8">
        <f t="shared" si="137"/>
        <v>0</v>
      </c>
      <c r="M503" s="8">
        <f t="shared" si="138"/>
        <v>0</v>
      </c>
      <c r="N503" s="8">
        <f t="shared" si="139"/>
        <v>4</v>
      </c>
      <c r="O503" s="8">
        <f t="shared" si="140"/>
        <v>0</v>
      </c>
      <c r="P503" s="8">
        <f t="shared" si="141"/>
        <v>1</v>
      </c>
      <c r="Q503" s="8">
        <f t="shared" si="142"/>
        <v>0</v>
      </c>
      <c r="R503" s="8">
        <f t="shared" si="143"/>
        <v>0</v>
      </c>
      <c r="S503" s="8">
        <f t="shared" si="144"/>
        <v>0</v>
      </c>
      <c r="T503" s="8">
        <f t="shared" si="145"/>
        <v>0</v>
      </c>
      <c r="V503" s="8">
        <f t="shared" si="146"/>
        <v>4</v>
      </c>
      <c r="W503">
        <f t="shared" si="147"/>
        <v>1</v>
      </c>
      <c r="Y503" t="str">
        <f t="shared" si="148"/>
        <v>fear</v>
      </c>
    </row>
    <row r="504" spans="2:25" x14ac:dyDescent="0.25">
      <c r="B504" s="5">
        <v>502</v>
      </c>
      <c r="C504" t="s">
        <v>3</v>
      </c>
      <c r="D504" t="s">
        <v>4</v>
      </c>
      <c r="E504" t="s">
        <v>4</v>
      </c>
      <c r="F504" t="s">
        <v>4</v>
      </c>
      <c r="G504" t="s">
        <v>7</v>
      </c>
      <c r="J504" s="19">
        <v>1</v>
      </c>
      <c r="K504" s="5">
        <v>502</v>
      </c>
      <c r="L504" s="8">
        <f t="shared" si="137"/>
        <v>1</v>
      </c>
      <c r="M504" s="8">
        <f t="shared" si="138"/>
        <v>0</v>
      </c>
      <c r="N504" s="8">
        <f t="shared" si="139"/>
        <v>0</v>
      </c>
      <c r="O504" s="8">
        <f t="shared" si="140"/>
        <v>1</v>
      </c>
      <c r="P504" s="8">
        <f t="shared" si="141"/>
        <v>0</v>
      </c>
      <c r="Q504" s="8">
        <f t="shared" si="142"/>
        <v>0</v>
      </c>
      <c r="R504" s="8">
        <f t="shared" si="143"/>
        <v>3</v>
      </c>
      <c r="S504" s="8">
        <f t="shared" si="144"/>
        <v>0</v>
      </c>
      <c r="T504" s="8">
        <f t="shared" si="145"/>
        <v>0</v>
      </c>
      <c r="V504" s="8">
        <f t="shared" si="146"/>
        <v>3</v>
      </c>
      <c r="W504">
        <f t="shared" si="147"/>
        <v>1</v>
      </c>
      <c r="Y504" t="str">
        <f t="shared" si="148"/>
        <v>anger</v>
      </c>
    </row>
    <row r="505" spans="2:25" x14ac:dyDescent="0.25">
      <c r="B505" s="5">
        <v>503</v>
      </c>
      <c r="C505" t="s">
        <v>1</v>
      </c>
      <c r="D505" t="s">
        <v>1</v>
      </c>
      <c r="E505" t="s">
        <v>3</v>
      </c>
      <c r="F505" t="s">
        <v>1</v>
      </c>
      <c r="G505" t="s">
        <v>1</v>
      </c>
      <c r="J505" s="19"/>
      <c r="K505" s="5">
        <v>503</v>
      </c>
      <c r="L505" s="8">
        <f t="shared" ref="L505:L568" si="149">COUNTIFS(C505:G505, "joy")</f>
        <v>1</v>
      </c>
      <c r="M505" s="8">
        <f t="shared" ref="M505:M568" si="150">COUNTIFS(C505:G505, "trust")</f>
        <v>4</v>
      </c>
      <c r="N505" s="8">
        <f t="shared" ref="N505:N568" si="151">COUNTIFS(C505:G505, "fear")</f>
        <v>0</v>
      </c>
      <c r="O505" s="8">
        <f t="shared" ref="O505:O568" si="152">COUNTIFS(C505:G505, "surprise")</f>
        <v>0</v>
      </c>
      <c r="P505" s="8">
        <f t="shared" ref="P505:P568" si="153">COUNTIFS(C505:G505, "sadness")</f>
        <v>0</v>
      </c>
      <c r="Q505" s="8">
        <f t="shared" ref="Q505:Q568" si="154">COUNTIFS(C505:G505, "disgust")</f>
        <v>0</v>
      </c>
      <c r="R505" s="8">
        <f t="shared" ref="R505:R568" si="155">COUNTIFS(C505:G505, "anger")</f>
        <v>0</v>
      </c>
      <c r="S505" s="8">
        <f t="shared" ref="S505:S568" si="156">COUNTIFS(C505:G505, "anticipation")</f>
        <v>0</v>
      </c>
      <c r="T505" s="8">
        <f t="shared" ref="T505:T568" si="157">COUNTIFS(C505:G505, "AMBIGUOUS")</f>
        <v>0</v>
      </c>
      <c r="V505" s="8">
        <f t="shared" si="146"/>
        <v>4</v>
      </c>
      <c r="W505">
        <f t="shared" si="147"/>
        <v>1</v>
      </c>
      <c r="Y505" t="str">
        <f t="shared" si="148"/>
        <v>trust</v>
      </c>
    </row>
    <row r="506" spans="2:25" x14ac:dyDescent="0.25">
      <c r="B506" s="5">
        <v>504</v>
      </c>
      <c r="C506" t="s">
        <v>3</v>
      </c>
      <c r="D506" t="s">
        <v>3</v>
      </c>
      <c r="E506" t="s">
        <v>3</v>
      </c>
      <c r="F506" t="s">
        <v>3</v>
      </c>
      <c r="G506" t="s">
        <v>1</v>
      </c>
      <c r="J506" s="19"/>
      <c r="K506" s="5">
        <v>504</v>
      </c>
      <c r="L506" s="8">
        <f t="shared" si="149"/>
        <v>4</v>
      </c>
      <c r="M506" s="8">
        <f t="shared" si="150"/>
        <v>1</v>
      </c>
      <c r="N506" s="8">
        <f t="shared" si="151"/>
        <v>0</v>
      </c>
      <c r="O506" s="8">
        <f t="shared" si="152"/>
        <v>0</v>
      </c>
      <c r="P506" s="8">
        <f t="shared" si="153"/>
        <v>0</v>
      </c>
      <c r="Q506" s="8">
        <f t="shared" si="154"/>
        <v>0</v>
      </c>
      <c r="R506" s="8">
        <f t="shared" si="155"/>
        <v>0</v>
      </c>
      <c r="S506" s="8">
        <f t="shared" si="156"/>
        <v>0</v>
      </c>
      <c r="T506" s="8">
        <f t="shared" si="157"/>
        <v>0</v>
      </c>
      <c r="V506" s="8">
        <f t="shared" si="146"/>
        <v>4</v>
      </c>
      <c r="W506">
        <f t="shared" si="147"/>
        <v>1</v>
      </c>
      <c r="Y506" t="str">
        <f t="shared" si="148"/>
        <v>joy</v>
      </c>
    </row>
    <row r="507" spans="2:25" x14ac:dyDescent="0.25">
      <c r="B507" s="5">
        <v>505</v>
      </c>
      <c r="C507" t="s">
        <v>3</v>
      </c>
      <c r="D507" t="s">
        <v>3</v>
      </c>
      <c r="E507" t="s">
        <v>3</v>
      </c>
      <c r="F507" t="s">
        <v>3</v>
      </c>
      <c r="G507" t="s">
        <v>7</v>
      </c>
      <c r="J507" s="19"/>
      <c r="K507" s="5">
        <v>505</v>
      </c>
      <c r="L507" s="8">
        <f t="shared" si="149"/>
        <v>4</v>
      </c>
      <c r="M507" s="8">
        <f t="shared" si="150"/>
        <v>0</v>
      </c>
      <c r="N507" s="8">
        <f t="shared" si="151"/>
        <v>0</v>
      </c>
      <c r="O507" s="8">
        <f t="shared" si="152"/>
        <v>1</v>
      </c>
      <c r="P507" s="8">
        <f t="shared" si="153"/>
        <v>0</v>
      </c>
      <c r="Q507" s="8">
        <f t="shared" si="154"/>
        <v>0</v>
      </c>
      <c r="R507" s="8">
        <f t="shared" si="155"/>
        <v>0</v>
      </c>
      <c r="S507" s="8">
        <f t="shared" si="156"/>
        <v>0</v>
      </c>
      <c r="T507" s="8">
        <f t="shared" si="157"/>
        <v>0</v>
      </c>
      <c r="V507" s="8">
        <f t="shared" si="146"/>
        <v>4</v>
      </c>
      <c r="W507">
        <f t="shared" si="147"/>
        <v>1</v>
      </c>
      <c r="Y507" t="str">
        <f t="shared" si="148"/>
        <v>joy</v>
      </c>
    </row>
    <row r="508" spans="2:25" x14ac:dyDescent="0.25">
      <c r="B508" s="5">
        <v>506</v>
      </c>
      <c r="C508" t="s">
        <v>3</v>
      </c>
      <c r="D508" t="s">
        <v>3</v>
      </c>
      <c r="E508" t="s">
        <v>3</v>
      </c>
      <c r="F508" t="s">
        <v>3</v>
      </c>
      <c r="G508" t="s">
        <v>1</v>
      </c>
      <c r="J508" s="19"/>
      <c r="K508" s="5">
        <v>506</v>
      </c>
      <c r="L508" s="8">
        <f t="shared" si="149"/>
        <v>4</v>
      </c>
      <c r="M508" s="8">
        <f t="shared" si="150"/>
        <v>1</v>
      </c>
      <c r="N508" s="8">
        <f t="shared" si="151"/>
        <v>0</v>
      </c>
      <c r="O508" s="8">
        <f t="shared" si="152"/>
        <v>0</v>
      </c>
      <c r="P508" s="8">
        <f t="shared" si="153"/>
        <v>0</v>
      </c>
      <c r="Q508" s="8">
        <f t="shared" si="154"/>
        <v>0</v>
      </c>
      <c r="R508" s="8">
        <f t="shared" si="155"/>
        <v>0</v>
      </c>
      <c r="S508" s="8">
        <f t="shared" si="156"/>
        <v>0</v>
      </c>
      <c r="T508" s="8">
        <f t="shared" si="157"/>
        <v>0</v>
      </c>
      <c r="V508" s="8">
        <f t="shared" si="146"/>
        <v>4</v>
      </c>
      <c r="W508">
        <f t="shared" si="147"/>
        <v>1</v>
      </c>
      <c r="Y508" t="str">
        <f t="shared" si="148"/>
        <v>joy</v>
      </c>
    </row>
    <row r="509" spans="2:25" x14ac:dyDescent="0.25">
      <c r="B509" s="5">
        <v>507</v>
      </c>
      <c r="C509" t="s">
        <v>3</v>
      </c>
      <c r="D509" t="s">
        <v>3</v>
      </c>
      <c r="E509" t="s">
        <v>3</v>
      </c>
      <c r="F509" t="s">
        <v>3</v>
      </c>
      <c r="G509" t="s">
        <v>7</v>
      </c>
      <c r="J509" s="19"/>
      <c r="K509" s="5">
        <v>507</v>
      </c>
      <c r="L509" s="8">
        <f t="shared" si="149"/>
        <v>4</v>
      </c>
      <c r="M509" s="8">
        <f t="shared" si="150"/>
        <v>0</v>
      </c>
      <c r="N509" s="8">
        <f t="shared" si="151"/>
        <v>0</v>
      </c>
      <c r="O509" s="8">
        <f t="shared" si="152"/>
        <v>1</v>
      </c>
      <c r="P509" s="8">
        <f t="shared" si="153"/>
        <v>0</v>
      </c>
      <c r="Q509" s="8">
        <f t="shared" si="154"/>
        <v>0</v>
      </c>
      <c r="R509" s="8">
        <f t="shared" si="155"/>
        <v>0</v>
      </c>
      <c r="S509" s="8">
        <f t="shared" si="156"/>
        <v>0</v>
      </c>
      <c r="T509" s="8">
        <f t="shared" si="157"/>
        <v>0</v>
      </c>
      <c r="V509" s="8">
        <f t="shared" si="146"/>
        <v>4</v>
      </c>
      <c r="W509">
        <f t="shared" si="147"/>
        <v>1</v>
      </c>
      <c r="Y509" t="str">
        <f t="shared" si="148"/>
        <v>joy</v>
      </c>
    </row>
    <row r="510" spans="2:25" x14ac:dyDescent="0.25">
      <c r="B510" s="5">
        <v>508</v>
      </c>
      <c r="C510" t="s">
        <v>3</v>
      </c>
      <c r="D510" t="s">
        <v>3</v>
      </c>
      <c r="E510" t="s">
        <v>3</v>
      </c>
      <c r="F510" t="s">
        <v>3</v>
      </c>
      <c r="G510" t="s">
        <v>8</v>
      </c>
      <c r="J510" s="19"/>
      <c r="K510" s="5">
        <v>508</v>
      </c>
      <c r="L510" s="8">
        <f t="shared" si="149"/>
        <v>4</v>
      </c>
      <c r="M510" s="8">
        <f t="shared" si="150"/>
        <v>0</v>
      </c>
      <c r="N510" s="8">
        <f t="shared" si="151"/>
        <v>0</v>
      </c>
      <c r="O510" s="8">
        <f t="shared" si="152"/>
        <v>0</v>
      </c>
      <c r="P510" s="8">
        <f t="shared" si="153"/>
        <v>0</v>
      </c>
      <c r="Q510" s="8">
        <f t="shared" si="154"/>
        <v>0</v>
      </c>
      <c r="R510" s="8">
        <f t="shared" si="155"/>
        <v>0</v>
      </c>
      <c r="S510" s="8">
        <f t="shared" si="156"/>
        <v>1</v>
      </c>
      <c r="T510" s="8">
        <f t="shared" si="157"/>
        <v>0</v>
      </c>
      <c r="V510" s="8">
        <f t="shared" si="146"/>
        <v>4</v>
      </c>
      <c r="W510">
        <f t="shared" si="147"/>
        <v>1</v>
      </c>
      <c r="Y510" t="str">
        <f t="shared" si="148"/>
        <v>joy</v>
      </c>
    </row>
    <row r="511" spans="2:25" x14ac:dyDescent="0.25">
      <c r="B511" s="5">
        <v>509</v>
      </c>
      <c r="C511" t="s">
        <v>4</v>
      </c>
      <c r="D511" t="s">
        <v>5</v>
      </c>
      <c r="E511" t="s">
        <v>5</v>
      </c>
      <c r="F511" t="s">
        <v>5</v>
      </c>
      <c r="G511" t="s">
        <v>8</v>
      </c>
      <c r="J511" s="19">
        <v>1</v>
      </c>
      <c r="K511" s="5">
        <v>509</v>
      </c>
      <c r="L511" s="8">
        <f t="shared" si="149"/>
        <v>0</v>
      </c>
      <c r="M511" s="8">
        <f t="shared" si="150"/>
        <v>0</v>
      </c>
      <c r="N511" s="8">
        <f t="shared" si="151"/>
        <v>0</v>
      </c>
      <c r="O511" s="8">
        <f t="shared" si="152"/>
        <v>0</v>
      </c>
      <c r="P511" s="8">
        <f t="shared" si="153"/>
        <v>3</v>
      </c>
      <c r="Q511" s="8">
        <f t="shared" si="154"/>
        <v>0</v>
      </c>
      <c r="R511" s="8">
        <f t="shared" si="155"/>
        <v>1</v>
      </c>
      <c r="S511" s="8">
        <f t="shared" si="156"/>
        <v>1</v>
      </c>
      <c r="T511" s="8">
        <f t="shared" si="157"/>
        <v>0</v>
      </c>
      <c r="V511" s="8">
        <f t="shared" si="146"/>
        <v>3</v>
      </c>
      <c r="W511">
        <f t="shared" si="147"/>
        <v>1</v>
      </c>
      <c r="Y511" t="str">
        <f t="shared" si="148"/>
        <v>sadness</v>
      </c>
    </row>
    <row r="512" spans="2:25" x14ac:dyDescent="0.25">
      <c r="B512" s="5">
        <v>510</v>
      </c>
      <c r="C512" t="s">
        <v>4</v>
      </c>
      <c r="D512" t="s">
        <v>5</v>
      </c>
      <c r="E512" t="s">
        <v>5</v>
      </c>
      <c r="F512" t="s">
        <v>5</v>
      </c>
      <c r="G512" t="s">
        <v>6</v>
      </c>
      <c r="J512" s="19">
        <v>1</v>
      </c>
      <c r="K512" s="5">
        <v>510</v>
      </c>
      <c r="L512" s="8">
        <f t="shared" si="149"/>
        <v>0</v>
      </c>
      <c r="M512" s="8">
        <f t="shared" si="150"/>
        <v>0</v>
      </c>
      <c r="N512" s="8">
        <f t="shared" si="151"/>
        <v>1</v>
      </c>
      <c r="O512" s="8">
        <f t="shared" si="152"/>
        <v>0</v>
      </c>
      <c r="P512" s="8">
        <f t="shared" si="153"/>
        <v>3</v>
      </c>
      <c r="Q512" s="8">
        <f t="shared" si="154"/>
        <v>0</v>
      </c>
      <c r="R512" s="8">
        <f t="shared" si="155"/>
        <v>1</v>
      </c>
      <c r="S512" s="8">
        <f t="shared" si="156"/>
        <v>0</v>
      </c>
      <c r="T512" s="8">
        <f t="shared" si="157"/>
        <v>0</v>
      </c>
      <c r="V512" s="8">
        <f t="shared" si="146"/>
        <v>3</v>
      </c>
      <c r="W512">
        <f t="shared" si="147"/>
        <v>1</v>
      </c>
      <c r="Y512" t="str">
        <f t="shared" si="148"/>
        <v>sadness</v>
      </c>
    </row>
    <row r="513" spans="2:25" x14ac:dyDescent="0.25">
      <c r="B513" s="5">
        <v>511</v>
      </c>
      <c r="C513" t="s">
        <v>4</v>
      </c>
      <c r="D513" t="s">
        <v>4</v>
      </c>
      <c r="E513" t="s">
        <v>3</v>
      </c>
      <c r="F513" t="s">
        <v>4</v>
      </c>
      <c r="G513" t="s">
        <v>7</v>
      </c>
      <c r="J513" s="19">
        <v>1</v>
      </c>
      <c r="K513" s="5">
        <v>511</v>
      </c>
      <c r="L513" s="8">
        <f t="shared" si="149"/>
        <v>1</v>
      </c>
      <c r="M513" s="8">
        <f t="shared" si="150"/>
        <v>0</v>
      </c>
      <c r="N513" s="8">
        <f t="shared" si="151"/>
        <v>0</v>
      </c>
      <c r="O513" s="8">
        <f t="shared" si="152"/>
        <v>1</v>
      </c>
      <c r="P513" s="8">
        <f t="shared" si="153"/>
        <v>0</v>
      </c>
      <c r="Q513" s="8">
        <f t="shared" si="154"/>
        <v>0</v>
      </c>
      <c r="R513" s="8">
        <f t="shared" si="155"/>
        <v>3</v>
      </c>
      <c r="S513" s="8">
        <f t="shared" si="156"/>
        <v>0</v>
      </c>
      <c r="T513" s="8">
        <f t="shared" si="157"/>
        <v>0</v>
      </c>
      <c r="V513" s="8">
        <f t="shared" si="146"/>
        <v>3</v>
      </c>
      <c r="W513">
        <f t="shared" si="147"/>
        <v>1</v>
      </c>
      <c r="Y513" t="str">
        <f t="shared" si="148"/>
        <v>anger</v>
      </c>
    </row>
    <row r="514" spans="2:25" x14ac:dyDescent="0.25">
      <c r="B514" s="5">
        <v>512</v>
      </c>
      <c r="C514" t="s">
        <v>1</v>
      </c>
      <c r="D514" t="s">
        <v>3</v>
      </c>
      <c r="E514" t="s">
        <v>3</v>
      </c>
      <c r="F514" t="s">
        <v>3</v>
      </c>
      <c r="G514" t="s">
        <v>3</v>
      </c>
      <c r="J514" s="19"/>
      <c r="K514" s="5">
        <v>512</v>
      </c>
      <c r="L514" s="8">
        <f t="shared" si="149"/>
        <v>4</v>
      </c>
      <c r="M514" s="8">
        <f t="shared" si="150"/>
        <v>1</v>
      </c>
      <c r="N514" s="8">
        <f t="shared" si="151"/>
        <v>0</v>
      </c>
      <c r="O514" s="8">
        <f t="shared" si="152"/>
        <v>0</v>
      </c>
      <c r="P514" s="8">
        <f t="shared" si="153"/>
        <v>0</v>
      </c>
      <c r="Q514" s="8">
        <f t="shared" si="154"/>
        <v>0</v>
      </c>
      <c r="R514" s="8">
        <f t="shared" si="155"/>
        <v>0</v>
      </c>
      <c r="S514" s="8">
        <f t="shared" si="156"/>
        <v>0</v>
      </c>
      <c r="T514" s="8">
        <f t="shared" si="157"/>
        <v>0</v>
      </c>
      <c r="V514" s="8">
        <f t="shared" si="146"/>
        <v>4</v>
      </c>
      <c r="W514">
        <f t="shared" si="147"/>
        <v>1</v>
      </c>
      <c r="Y514" t="str">
        <f t="shared" si="148"/>
        <v>joy</v>
      </c>
    </row>
    <row r="515" spans="2:25" x14ac:dyDescent="0.25">
      <c r="B515" s="5">
        <v>513</v>
      </c>
      <c r="C515" t="s">
        <v>1</v>
      </c>
      <c r="D515" t="s">
        <v>1</v>
      </c>
      <c r="E515" t="s">
        <v>3</v>
      </c>
      <c r="F515" t="s">
        <v>1</v>
      </c>
      <c r="G515" t="s">
        <v>7</v>
      </c>
      <c r="J515" s="19">
        <v>1</v>
      </c>
      <c r="K515" s="5">
        <v>513</v>
      </c>
      <c r="L515" s="8">
        <f t="shared" si="149"/>
        <v>1</v>
      </c>
      <c r="M515" s="8">
        <f t="shared" si="150"/>
        <v>3</v>
      </c>
      <c r="N515" s="8">
        <f t="shared" si="151"/>
        <v>0</v>
      </c>
      <c r="O515" s="8">
        <f t="shared" si="152"/>
        <v>1</v>
      </c>
      <c r="P515" s="8">
        <f t="shared" si="153"/>
        <v>0</v>
      </c>
      <c r="Q515" s="8">
        <f t="shared" si="154"/>
        <v>0</v>
      </c>
      <c r="R515" s="8">
        <f t="shared" si="155"/>
        <v>0</v>
      </c>
      <c r="S515" s="8">
        <f t="shared" si="156"/>
        <v>0</v>
      </c>
      <c r="T515" s="8">
        <f t="shared" si="157"/>
        <v>0</v>
      </c>
      <c r="V515" s="8">
        <f t="shared" si="146"/>
        <v>3</v>
      </c>
      <c r="W515">
        <f t="shared" si="147"/>
        <v>1</v>
      </c>
      <c r="Y515" t="str">
        <f t="shared" si="148"/>
        <v>trust</v>
      </c>
    </row>
    <row r="516" spans="2:25" x14ac:dyDescent="0.25">
      <c r="B516" s="5">
        <v>514</v>
      </c>
      <c r="C516" t="s">
        <v>1</v>
      </c>
      <c r="D516" t="s">
        <v>2</v>
      </c>
      <c r="E516" t="s">
        <v>2</v>
      </c>
      <c r="F516" t="s">
        <v>2</v>
      </c>
      <c r="G516" t="s">
        <v>2</v>
      </c>
      <c r="J516" s="19"/>
      <c r="K516" s="5">
        <v>514</v>
      </c>
      <c r="L516" s="8">
        <f t="shared" si="149"/>
        <v>0</v>
      </c>
      <c r="M516" s="8">
        <f t="shared" si="150"/>
        <v>1</v>
      </c>
      <c r="N516" s="8">
        <f t="shared" si="151"/>
        <v>0</v>
      </c>
      <c r="O516" s="8">
        <f t="shared" si="152"/>
        <v>0</v>
      </c>
      <c r="P516" s="8">
        <f t="shared" si="153"/>
        <v>0</v>
      </c>
      <c r="Q516" s="8">
        <f t="shared" si="154"/>
        <v>0</v>
      </c>
      <c r="R516" s="8">
        <f t="shared" si="155"/>
        <v>0</v>
      </c>
      <c r="S516" s="8">
        <f t="shared" si="156"/>
        <v>0</v>
      </c>
      <c r="T516" s="8">
        <f t="shared" si="157"/>
        <v>4</v>
      </c>
      <c r="V516" s="8">
        <f t="shared" si="146"/>
        <v>4</v>
      </c>
      <c r="W516">
        <f t="shared" si="147"/>
        <v>1</v>
      </c>
      <c r="Y516" t="str">
        <f t="shared" si="148"/>
        <v>AMBIGUOUS</v>
      </c>
    </row>
    <row r="517" spans="2:25" x14ac:dyDescent="0.25">
      <c r="B517" s="5">
        <v>515</v>
      </c>
      <c r="C517" t="s">
        <v>4</v>
      </c>
      <c r="D517" t="s">
        <v>1</v>
      </c>
      <c r="E517" t="s">
        <v>3</v>
      </c>
      <c r="F517" t="s">
        <v>1</v>
      </c>
      <c r="G517" t="s">
        <v>1</v>
      </c>
      <c r="J517" s="19">
        <v>1</v>
      </c>
      <c r="K517" s="5">
        <v>515</v>
      </c>
      <c r="L517" s="8">
        <f t="shared" si="149"/>
        <v>1</v>
      </c>
      <c r="M517" s="8">
        <f t="shared" si="150"/>
        <v>3</v>
      </c>
      <c r="N517" s="8">
        <f t="shared" si="151"/>
        <v>0</v>
      </c>
      <c r="O517" s="8">
        <f t="shared" si="152"/>
        <v>0</v>
      </c>
      <c r="P517" s="8">
        <f t="shared" si="153"/>
        <v>0</v>
      </c>
      <c r="Q517" s="8">
        <f t="shared" si="154"/>
        <v>0</v>
      </c>
      <c r="R517" s="8">
        <f t="shared" si="155"/>
        <v>1</v>
      </c>
      <c r="S517" s="8">
        <f t="shared" si="156"/>
        <v>0</v>
      </c>
      <c r="T517" s="8">
        <f t="shared" si="157"/>
        <v>0</v>
      </c>
      <c r="V517" s="8">
        <f t="shared" si="146"/>
        <v>3</v>
      </c>
      <c r="W517">
        <f t="shared" si="147"/>
        <v>1</v>
      </c>
      <c r="Y517" t="str">
        <f t="shared" si="148"/>
        <v>trust</v>
      </c>
    </row>
    <row r="518" spans="2:25" x14ac:dyDescent="0.25">
      <c r="B518" s="5">
        <v>516</v>
      </c>
      <c r="C518" t="s">
        <v>4</v>
      </c>
      <c r="D518" t="s">
        <v>0</v>
      </c>
      <c r="E518" t="s">
        <v>1</v>
      </c>
      <c r="F518" t="s">
        <v>0</v>
      </c>
      <c r="G518" t="s">
        <v>0</v>
      </c>
      <c r="J518" s="19">
        <v>1</v>
      </c>
      <c r="K518" s="5">
        <v>516</v>
      </c>
      <c r="L518" s="8">
        <f t="shared" si="149"/>
        <v>0</v>
      </c>
      <c r="M518" s="8">
        <f t="shared" si="150"/>
        <v>1</v>
      </c>
      <c r="N518" s="8">
        <f t="shared" si="151"/>
        <v>0</v>
      </c>
      <c r="O518" s="8">
        <f t="shared" si="152"/>
        <v>0</v>
      </c>
      <c r="P518" s="8">
        <f t="shared" si="153"/>
        <v>0</v>
      </c>
      <c r="Q518" s="8">
        <f t="shared" si="154"/>
        <v>3</v>
      </c>
      <c r="R518" s="8">
        <f t="shared" si="155"/>
        <v>1</v>
      </c>
      <c r="S518" s="8">
        <f t="shared" si="156"/>
        <v>0</v>
      </c>
      <c r="T518" s="8">
        <f t="shared" si="157"/>
        <v>0</v>
      </c>
      <c r="V518" s="8">
        <f t="shared" si="146"/>
        <v>3</v>
      </c>
      <c r="W518">
        <f t="shared" si="147"/>
        <v>1</v>
      </c>
      <c r="Y518" t="str">
        <f t="shared" si="148"/>
        <v>disgust</v>
      </c>
    </row>
    <row r="519" spans="2:25" x14ac:dyDescent="0.25">
      <c r="B519" s="5">
        <v>517</v>
      </c>
      <c r="C519" t="s">
        <v>1</v>
      </c>
      <c r="D519" t="s">
        <v>1</v>
      </c>
      <c r="E519" t="s">
        <v>3</v>
      </c>
      <c r="F519" t="s">
        <v>1</v>
      </c>
      <c r="G519" t="s">
        <v>1</v>
      </c>
      <c r="J519" s="19"/>
      <c r="K519" s="5">
        <v>517</v>
      </c>
      <c r="L519" s="8">
        <f t="shared" si="149"/>
        <v>1</v>
      </c>
      <c r="M519" s="8">
        <f t="shared" si="150"/>
        <v>4</v>
      </c>
      <c r="N519" s="8">
        <f t="shared" si="151"/>
        <v>0</v>
      </c>
      <c r="O519" s="8">
        <f t="shared" si="152"/>
        <v>0</v>
      </c>
      <c r="P519" s="8">
        <f t="shared" si="153"/>
        <v>0</v>
      </c>
      <c r="Q519" s="8">
        <f t="shared" si="154"/>
        <v>0</v>
      </c>
      <c r="R519" s="8">
        <f t="shared" si="155"/>
        <v>0</v>
      </c>
      <c r="S519" s="8">
        <f t="shared" si="156"/>
        <v>0</v>
      </c>
      <c r="T519" s="8">
        <f t="shared" si="157"/>
        <v>0</v>
      </c>
      <c r="V519" s="8">
        <f t="shared" si="146"/>
        <v>4</v>
      </c>
      <c r="W519">
        <f t="shared" si="147"/>
        <v>1</v>
      </c>
      <c r="Y519" t="str">
        <f t="shared" si="148"/>
        <v>trust</v>
      </c>
    </row>
    <row r="520" spans="2:25" x14ac:dyDescent="0.25">
      <c r="B520" s="5">
        <v>518</v>
      </c>
      <c r="C520" t="s">
        <v>1</v>
      </c>
      <c r="D520" t="s">
        <v>1</v>
      </c>
      <c r="E520" t="s">
        <v>3</v>
      </c>
      <c r="F520" t="s">
        <v>1</v>
      </c>
      <c r="G520" t="s">
        <v>1</v>
      </c>
      <c r="J520" s="19"/>
      <c r="K520" s="5">
        <v>518</v>
      </c>
      <c r="L520" s="8">
        <f t="shared" si="149"/>
        <v>1</v>
      </c>
      <c r="M520" s="8">
        <f t="shared" si="150"/>
        <v>4</v>
      </c>
      <c r="N520" s="8">
        <f t="shared" si="151"/>
        <v>0</v>
      </c>
      <c r="O520" s="8">
        <f t="shared" si="152"/>
        <v>0</v>
      </c>
      <c r="P520" s="8">
        <f t="shared" si="153"/>
        <v>0</v>
      </c>
      <c r="Q520" s="8">
        <f t="shared" si="154"/>
        <v>0</v>
      </c>
      <c r="R520" s="8">
        <f t="shared" si="155"/>
        <v>0</v>
      </c>
      <c r="S520" s="8">
        <f t="shared" si="156"/>
        <v>0</v>
      </c>
      <c r="T520" s="8">
        <f t="shared" si="157"/>
        <v>0</v>
      </c>
      <c r="V520" s="8">
        <f t="shared" si="146"/>
        <v>4</v>
      </c>
      <c r="W520">
        <f t="shared" si="147"/>
        <v>1</v>
      </c>
      <c r="Y520" t="str">
        <f t="shared" si="148"/>
        <v>trust</v>
      </c>
    </row>
    <row r="521" spans="2:25" x14ac:dyDescent="0.25">
      <c r="B521" s="5">
        <v>519</v>
      </c>
      <c r="C521" t="s">
        <v>3</v>
      </c>
      <c r="D521" t="s">
        <v>3</v>
      </c>
      <c r="E521" t="s">
        <v>3</v>
      </c>
      <c r="F521" t="s">
        <v>3</v>
      </c>
      <c r="G521" t="s">
        <v>7</v>
      </c>
      <c r="J521" s="19"/>
      <c r="K521" s="5">
        <v>519</v>
      </c>
      <c r="L521" s="8">
        <f t="shared" si="149"/>
        <v>4</v>
      </c>
      <c r="M521" s="8">
        <f t="shared" si="150"/>
        <v>0</v>
      </c>
      <c r="N521" s="8">
        <f t="shared" si="151"/>
        <v>0</v>
      </c>
      <c r="O521" s="8">
        <f t="shared" si="152"/>
        <v>1</v>
      </c>
      <c r="P521" s="8">
        <f t="shared" si="153"/>
        <v>0</v>
      </c>
      <c r="Q521" s="8">
        <f t="shared" si="154"/>
        <v>0</v>
      </c>
      <c r="R521" s="8">
        <f t="shared" si="155"/>
        <v>0</v>
      </c>
      <c r="S521" s="8">
        <f t="shared" si="156"/>
        <v>0</v>
      </c>
      <c r="T521" s="8">
        <f t="shared" si="157"/>
        <v>0</v>
      </c>
      <c r="V521" s="8">
        <f t="shared" si="146"/>
        <v>4</v>
      </c>
      <c r="W521">
        <f t="shared" si="147"/>
        <v>1</v>
      </c>
      <c r="Y521" t="str">
        <f t="shared" si="148"/>
        <v>joy</v>
      </c>
    </row>
    <row r="522" spans="2:25" x14ac:dyDescent="0.25">
      <c r="B522" s="5">
        <v>520</v>
      </c>
      <c r="C522" t="s">
        <v>3</v>
      </c>
      <c r="D522" t="s">
        <v>1</v>
      </c>
      <c r="E522" t="s">
        <v>6</v>
      </c>
      <c r="F522" t="s">
        <v>1</v>
      </c>
      <c r="G522" t="s">
        <v>1</v>
      </c>
      <c r="J522" s="19">
        <v>1</v>
      </c>
      <c r="K522" s="5">
        <v>520</v>
      </c>
      <c r="L522" s="8">
        <f t="shared" si="149"/>
        <v>1</v>
      </c>
      <c r="M522" s="8">
        <f t="shared" si="150"/>
        <v>3</v>
      </c>
      <c r="N522" s="8">
        <f t="shared" si="151"/>
        <v>1</v>
      </c>
      <c r="O522" s="8">
        <f t="shared" si="152"/>
        <v>0</v>
      </c>
      <c r="P522" s="8">
        <f t="shared" si="153"/>
        <v>0</v>
      </c>
      <c r="Q522" s="8">
        <f t="shared" si="154"/>
        <v>0</v>
      </c>
      <c r="R522" s="8">
        <f t="shared" si="155"/>
        <v>0</v>
      </c>
      <c r="S522" s="8">
        <f t="shared" si="156"/>
        <v>0</v>
      </c>
      <c r="T522" s="8">
        <f t="shared" si="157"/>
        <v>0</v>
      </c>
      <c r="V522" s="8">
        <f t="shared" si="146"/>
        <v>3</v>
      </c>
      <c r="W522">
        <f t="shared" si="147"/>
        <v>1</v>
      </c>
      <c r="Y522" t="str">
        <f t="shared" si="148"/>
        <v>trust</v>
      </c>
    </row>
    <row r="523" spans="2:25" x14ac:dyDescent="0.25">
      <c r="B523" s="5">
        <v>521</v>
      </c>
      <c r="C523" t="s">
        <v>3</v>
      </c>
      <c r="D523" t="s">
        <v>3</v>
      </c>
      <c r="E523" t="s">
        <v>3</v>
      </c>
      <c r="F523" t="s">
        <v>3</v>
      </c>
      <c r="G523" t="s">
        <v>1</v>
      </c>
      <c r="J523" s="19"/>
      <c r="K523" s="5">
        <v>521</v>
      </c>
      <c r="L523" s="8">
        <f t="shared" si="149"/>
        <v>4</v>
      </c>
      <c r="M523" s="8">
        <f t="shared" si="150"/>
        <v>1</v>
      </c>
      <c r="N523" s="8">
        <f t="shared" si="151"/>
        <v>0</v>
      </c>
      <c r="O523" s="8">
        <f t="shared" si="152"/>
        <v>0</v>
      </c>
      <c r="P523" s="8">
        <f t="shared" si="153"/>
        <v>0</v>
      </c>
      <c r="Q523" s="8">
        <f t="shared" si="154"/>
        <v>0</v>
      </c>
      <c r="R523" s="8">
        <f t="shared" si="155"/>
        <v>0</v>
      </c>
      <c r="S523" s="8">
        <f t="shared" si="156"/>
        <v>0</v>
      </c>
      <c r="T523" s="8">
        <f t="shared" si="157"/>
        <v>0</v>
      </c>
      <c r="V523" s="8">
        <f t="shared" si="146"/>
        <v>4</v>
      </c>
      <c r="W523">
        <f t="shared" si="147"/>
        <v>1</v>
      </c>
      <c r="Y523" t="str">
        <f t="shared" si="148"/>
        <v>joy</v>
      </c>
    </row>
    <row r="524" spans="2:25" x14ac:dyDescent="0.25">
      <c r="B524" s="5">
        <v>522</v>
      </c>
      <c r="C524" t="s">
        <v>3</v>
      </c>
      <c r="D524" t="s">
        <v>3</v>
      </c>
      <c r="E524" t="s">
        <v>6</v>
      </c>
      <c r="F524" t="s">
        <v>3</v>
      </c>
      <c r="G524" t="s">
        <v>1</v>
      </c>
      <c r="J524" s="19">
        <v>1</v>
      </c>
      <c r="K524" s="5">
        <v>522</v>
      </c>
      <c r="L524" s="8">
        <f t="shared" si="149"/>
        <v>3</v>
      </c>
      <c r="M524" s="8">
        <f t="shared" si="150"/>
        <v>1</v>
      </c>
      <c r="N524" s="8">
        <f t="shared" si="151"/>
        <v>1</v>
      </c>
      <c r="O524" s="8">
        <f t="shared" si="152"/>
        <v>0</v>
      </c>
      <c r="P524" s="8">
        <f t="shared" si="153"/>
        <v>0</v>
      </c>
      <c r="Q524" s="8">
        <f t="shared" si="154"/>
        <v>0</v>
      </c>
      <c r="R524" s="8">
        <f t="shared" si="155"/>
        <v>0</v>
      </c>
      <c r="S524" s="8">
        <f t="shared" si="156"/>
        <v>0</v>
      </c>
      <c r="T524" s="8">
        <f t="shared" si="157"/>
        <v>0</v>
      </c>
      <c r="V524" s="8">
        <f t="shared" si="146"/>
        <v>3</v>
      </c>
      <c r="W524">
        <f t="shared" si="147"/>
        <v>1</v>
      </c>
      <c r="Y524" t="str">
        <f t="shared" si="148"/>
        <v>joy</v>
      </c>
    </row>
    <row r="525" spans="2:25" x14ac:dyDescent="0.25">
      <c r="B525" s="5">
        <v>523</v>
      </c>
      <c r="C525" t="s">
        <v>1</v>
      </c>
      <c r="D525" t="s">
        <v>1</v>
      </c>
      <c r="E525" t="s">
        <v>3</v>
      </c>
      <c r="F525" t="s">
        <v>1</v>
      </c>
      <c r="G525" t="s">
        <v>1</v>
      </c>
      <c r="J525" s="19"/>
      <c r="K525" s="5">
        <v>523</v>
      </c>
      <c r="L525" s="8">
        <f t="shared" si="149"/>
        <v>1</v>
      </c>
      <c r="M525" s="8">
        <f t="shared" si="150"/>
        <v>4</v>
      </c>
      <c r="N525" s="8">
        <f t="shared" si="151"/>
        <v>0</v>
      </c>
      <c r="O525" s="8">
        <f t="shared" si="152"/>
        <v>0</v>
      </c>
      <c r="P525" s="8">
        <f t="shared" si="153"/>
        <v>0</v>
      </c>
      <c r="Q525" s="8">
        <f t="shared" si="154"/>
        <v>0</v>
      </c>
      <c r="R525" s="8">
        <f t="shared" si="155"/>
        <v>0</v>
      </c>
      <c r="S525" s="8">
        <f t="shared" si="156"/>
        <v>0</v>
      </c>
      <c r="T525" s="8">
        <f t="shared" si="157"/>
        <v>0</v>
      </c>
      <c r="V525" s="8">
        <f t="shared" si="146"/>
        <v>4</v>
      </c>
      <c r="W525">
        <f t="shared" si="147"/>
        <v>1</v>
      </c>
      <c r="Y525" t="str">
        <f t="shared" si="148"/>
        <v>trust</v>
      </c>
    </row>
    <row r="526" spans="2:25" x14ac:dyDescent="0.25">
      <c r="B526" s="5">
        <v>524</v>
      </c>
      <c r="C526" t="s">
        <v>3</v>
      </c>
      <c r="D526" t="s">
        <v>3</v>
      </c>
      <c r="E526" t="s">
        <v>3</v>
      </c>
      <c r="F526" t="s">
        <v>3</v>
      </c>
      <c r="G526" t="s">
        <v>1</v>
      </c>
      <c r="J526" s="19"/>
      <c r="K526" s="5">
        <v>524</v>
      </c>
      <c r="L526" s="8">
        <f t="shared" si="149"/>
        <v>4</v>
      </c>
      <c r="M526" s="8">
        <f t="shared" si="150"/>
        <v>1</v>
      </c>
      <c r="N526" s="8">
        <f t="shared" si="151"/>
        <v>0</v>
      </c>
      <c r="O526" s="8">
        <f t="shared" si="152"/>
        <v>0</v>
      </c>
      <c r="P526" s="8">
        <f t="shared" si="153"/>
        <v>0</v>
      </c>
      <c r="Q526" s="8">
        <f t="shared" si="154"/>
        <v>0</v>
      </c>
      <c r="R526" s="8">
        <f t="shared" si="155"/>
        <v>0</v>
      </c>
      <c r="S526" s="8">
        <f t="shared" si="156"/>
        <v>0</v>
      </c>
      <c r="T526" s="8">
        <f t="shared" si="157"/>
        <v>0</v>
      </c>
      <c r="V526" s="8">
        <f t="shared" si="146"/>
        <v>4</v>
      </c>
      <c r="W526">
        <f t="shared" si="147"/>
        <v>1</v>
      </c>
      <c r="Y526" t="str">
        <f t="shared" si="148"/>
        <v>joy</v>
      </c>
    </row>
    <row r="527" spans="2:25" x14ac:dyDescent="0.25">
      <c r="B527" s="5">
        <v>525</v>
      </c>
      <c r="C527" t="s">
        <v>3</v>
      </c>
      <c r="D527" t="s">
        <v>3</v>
      </c>
      <c r="E527" t="s">
        <v>4</v>
      </c>
      <c r="F527" t="s">
        <v>3</v>
      </c>
      <c r="G527" t="s">
        <v>2</v>
      </c>
      <c r="J527" s="19">
        <v>1</v>
      </c>
      <c r="K527" s="5">
        <v>525</v>
      </c>
      <c r="L527" s="8">
        <f t="shared" si="149"/>
        <v>3</v>
      </c>
      <c r="M527" s="8">
        <f t="shared" si="150"/>
        <v>0</v>
      </c>
      <c r="N527" s="8">
        <f t="shared" si="151"/>
        <v>0</v>
      </c>
      <c r="O527" s="8">
        <f t="shared" si="152"/>
        <v>0</v>
      </c>
      <c r="P527" s="8">
        <f t="shared" si="153"/>
        <v>0</v>
      </c>
      <c r="Q527" s="8">
        <f t="shared" si="154"/>
        <v>0</v>
      </c>
      <c r="R527" s="8">
        <f t="shared" si="155"/>
        <v>1</v>
      </c>
      <c r="S527" s="8">
        <f t="shared" si="156"/>
        <v>0</v>
      </c>
      <c r="T527" s="8">
        <f t="shared" si="157"/>
        <v>1</v>
      </c>
      <c r="V527" s="8">
        <f t="shared" si="146"/>
        <v>3</v>
      </c>
      <c r="W527">
        <f t="shared" si="147"/>
        <v>1</v>
      </c>
      <c r="Y527" t="str">
        <f t="shared" si="148"/>
        <v>joy</v>
      </c>
    </row>
    <row r="528" spans="2:25" x14ac:dyDescent="0.25">
      <c r="B528" s="5">
        <v>526</v>
      </c>
      <c r="C528" t="s">
        <v>3</v>
      </c>
      <c r="D528" t="s">
        <v>3</v>
      </c>
      <c r="E528" t="s">
        <v>3</v>
      </c>
      <c r="F528" t="s">
        <v>3</v>
      </c>
      <c r="G528" t="s">
        <v>7</v>
      </c>
      <c r="J528" s="19"/>
      <c r="K528" s="5">
        <v>526</v>
      </c>
      <c r="L528" s="8">
        <f t="shared" si="149"/>
        <v>4</v>
      </c>
      <c r="M528" s="8">
        <f t="shared" si="150"/>
        <v>0</v>
      </c>
      <c r="N528" s="8">
        <f t="shared" si="151"/>
        <v>0</v>
      </c>
      <c r="O528" s="8">
        <f t="shared" si="152"/>
        <v>1</v>
      </c>
      <c r="P528" s="8">
        <f t="shared" si="153"/>
        <v>0</v>
      </c>
      <c r="Q528" s="8">
        <f t="shared" si="154"/>
        <v>0</v>
      </c>
      <c r="R528" s="8">
        <f t="shared" si="155"/>
        <v>0</v>
      </c>
      <c r="S528" s="8">
        <f t="shared" si="156"/>
        <v>0</v>
      </c>
      <c r="T528" s="8">
        <f t="shared" si="157"/>
        <v>0</v>
      </c>
      <c r="V528" s="8">
        <f t="shared" si="146"/>
        <v>4</v>
      </c>
      <c r="W528">
        <f t="shared" si="147"/>
        <v>1</v>
      </c>
      <c r="Y528" t="str">
        <f t="shared" si="148"/>
        <v>joy</v>
      </c>
    </row>
    <row r="529" spans="2:25" x14ac:dyDescent="0.25">
      <c r="B529" s="5">
        <v>527</v>
      </c>
      <c r="C529" t="s">
        <v>3</v>
      </c>
      <c r="D529" t="s">
        <v>5</v>
      </c>
      <c r="E529" t="s">
        <v>5</v>
      </c>
      <c r="F529" t="s">
        <v>5</v>
      </c>
      <c r="G529" t="s">
        <v>7</v>
      </c>
      <c r="J529" s="19">
        <v>1</v>
      </c>
      <c r="K529" s="5">
        <v>527</v>
      </c>
      <c r="L529" s="8">
        <f t="shared" si="149"/>
        <v>1</v>
      </c>
      <c r="M529" s="8">
        <f t="shared" si="150"/>
        <v>0</v>
      </c>
      <c r="N529" s="8">
        <f t="shared" si="151"/>
        <v>0</v>
      </c>
      <c r="O529" s="8">
        <f t="shared" si="152"/>
        <v>1</v>
      </c>
      <c r="P529" s="8">
        <f t="shared" si="153"/>
        <v>3</v>
      </c>
      <c r="Q529" s="8">
        <f t="shared" si="154"/>
        <v>0</v>
      </c>
      <c r="R529" s="8">
        <f t="shared" si="155"/>
        <v>0</v>
      </c>
      <c r="S529" s="8">
        <f t="shared" si="156"/>
        <v>0</v>
      </c>
      <c r="T529" s="8">
        <f t="shared" si="157"/>
        <v>0</v>
      </c>
      <c r="V529" s="8">
        <f t="shared" si="146"/>
        <v>3</v>
      </c>
      <c r="W529">
        <f t="shared" si="147"/>
        <v>1</v>
      </c>
      <c r="Y529" t="str">
        <f t="shared" si="148"/>
        <v>sadness</v>
      </c>
    </row>
    <row r="530" spans="2:25" x14ac:dyDescent="0.25">
      <c r="B530" s="5">
        <v>528</v>
      </c>
      <c r="C530" t="s">
        <v>3</v>
      </c>
      <c r="D530" t="s">
        <v>3</v>
      </c>
      <c r="E530" t="s">
        <v>3</v>
      </c>
      <c r="F530" t="s">
        <v>3</v>
      </c>
      <c r="G530" t="s">
        <v>1</v>
      </c>
      <c r="J530" s="19"/>
      <c r="K530" s="5">
        <v>528</v>
      </c>
      <c r="L530" s="8">
        <f t="shared" si="149"/>
        <v>4</v>
      </c>
      <c r="M530" s="8">
        <f t="shared" si="150"/>
        <v>1</v>
      </c>
      <c r="N530" s="8">
        <f t="shared" si="151"/>
        <v>0</v>
      </c>
      <c r="O530" s="8">
        <f t="shared" si="152"/>
        <v>0</v>
      </c>
      <c r="P530" s="8">
        <f t="shared" si="153"/>
        <v>0</v>
      </c>
      <c r="Q530" s="8">
        <f t="shared" si="154"/>
        <v>0</v>
      </c>
      <c r="R530" s="8">
        <f t="shared" si="155"/>
        <v>0</v>
      </c>
      <c r="S530" s="8">
        <f t="shared" si="156"/>
        <v>0</v>
      </c>
      <c r="T530" s="8">
        <f t="shared" si="157"/>
        <v>0</v>
      </c>
      <c r="V530" s="8">
        <f t="shared" si="146"/>
        <v>4</v>
      </c>
      <c r="W530">
        <f t="shared" si="147"/>
        <v>1</v>
      </c>
      <c r="Y530" t="str">
        <f t="shared" si="148"/>
        <v>joy</v>
      </c>
    </row>
    <row r="531" spans="2:25" x14ac:dyDescent="0.25">
      <c r="B531" s="5">
        <v>529</v>
      </c>
      <c r="C531" t="s">
        <v>1</v>
      </c>
      <c r="D531" t="s">
        <v>3</v>
      </c>
      <c r="E531" t="s">
        <v>3</v>
      </c>
      <c r="F531" t="s">
        <v>3</v>
      </c>
      <c r="G531" t="s">
        <v>3</v>
      </c>
      <c r="J531" s="19"/>
      <c r="K531" s="5">
        <v>529</v>
      </c>
      <c r="L531" s="8">
        <f t="shared" si="149"/>
        <v>4</v>
      </c>
      <c r="M531" s="8">
        <f t="shared" si="150"/>
        <v>1</v>
      </c>
      <c r="N531" s="8">
        <f t="shared" si="151"/>
        <v>0</v>
      </c>
      <c r="O531" s="8">
        <f t="shared" si="152"/>
        <v>0</v>
      </c>
      <c r="P531" s="8">
        <f t="shared" si="153"/>
        <v>0</v>
      </c>
      <c r="Q531" s="8">
        <f t="shared" si="154"/>
        <v>0</v>
      </c>
      <c r="R531" s="8">
        <f t="shared" si="155"/>
        <v>0</v>
      </c>
      <c r="S531" s="8">
        <f t="shared" si="156"/>
        <v>0</v>
      </c>
      <c r="T531" s="8">
        <f t="shared" si="157"/>
        <v>0</v>
      </c>
      <c r="V531" s="8">
        <f t="shared" si="146"/>
        <v>4</v>
      </c>
      <c r="W531">
        <f t="shared" si="147"/>
        <v>1</v>
      </c>
      <c r="Y531" t="str">
        <f t="shared" si="148"/>
        <v>joy</v>
      </c>
    </row>
    <row r="532" spans="2:25" x14ac:dyDescent="0.25">
      <c r="B532" s="5">
        <v>530</v>
      </c>
      <c r="C532" t="s">
        <v>3</v>
      </c>
      <c r="D532" t="s">
        <v>3</v>
      </c>
      <c r="E532" t="s">
        <v>3</v>
      </c>
      <c r="F532" t="s">
        <v>3</v>
      </c>
      <c r="G532" t="s">
        <v>3</v>
      </c>
      <c r="J532" s="19"/>
      <c r="K532" s="5">
        <v>530</v>
      </c>
      <c r="L532" s="8">
        <f t="shared" si="149"/>
        <v>5</v>
      </c>
      <c r="M532" s="8">
        <f t="shared" si="150"/>
        <v>0</v>
      </c>
      <c r="N532" s="8">
        <f t="shared" si="151"/>
        <v>0</v>
      </c>
      <c r="O532" s="8">
        <f t="shared" si="152"/>
        <v>0</v>
      </c>
      <c r="P532" s="8">
        <f t="shared" si="153"/>
        <v>0</v>
      </c>
      <c r="Q532" s="8">
        <f t="shared" si="154"/>
        <v>0</v>
      </c>
      <c r="R532" s="8">
        <f t="shared" si="155"/>
        <v>0</v>
      </c>
      <c r="S532" s="8">
        <f t="shared" si="156"/>
        <v>0</v>
      </c>
      <c r="T532" s="8">
        <f t="shared" si="157"/>
        <v>0</v>
      </c>
      <c r="V532" s="8">
        <f t="shared" ref="V532:V595" si="158">MAX(L532:T532)</f>
        <v>5</v>
      </c>
      <c r="W532">
        <f t="shared" ref="W532:W595" si="159">COUNTIF(L532:T532, "=" &amp; V532)</f>
        <v>1</v>
      </c>
      <c r="Y532" t="str">
        <f t="shared" ref="Y532:Y595" si="160">INDEX($L$2:$T$2,MATCH(MAX(L532:T532),L532:T532,0))</f>
        <v>joy</v>
      </c>
    </row>
    <row r="533" spans="2:25" x14ac:dyDescent="0.25">
      <c r="B533" s="5">
        <v>531</v>
      </c>
      <c r="C533" t="s">
        <v>1</v>
      </c>
      <c r="D533" t="s">
        <v>1</v>
      </c>
      <c r="E533" t="s">
        <v>3</v>
      </c>
      <c r="F533" t="s">
        <v>1</v>
      </c>
      <c r="G533" t="s">
        <v>1</v>
      </c>
      <c r="J533" s="19"/>
      <c r="K533" s="5">
        <v>531</v>
      </c>
      <c r="L533" s="8">
        <f t="shared" si="149"/>
        <v>1</v>
      </c>
      <c r="M533" s="8">
        <f t="shared" si="150"/>
        <v>4</v>
      </c>
      <c r="N533" s="8">
        <f t="shared" si="151"/>
        <v>0</v>
      </c>
      <c r="O533" s="8">
        <f t="shared" si="152"/>
        <v>0</v>
      </c>
      <c r="P533" s="8">
        <f t="shared" si="153"/>
        <v>0</v>
      </c>
      <c r="Q533" s="8">
        <f t="shared" si="154"/>
        <v>0</v>
      </c>
      <c r="R533" s="8">
        <f t="shared" si="155"/>
        <v>0</v>
      </c>
      <c r="S533" s="8">
        <f t="shared" si="156"/>
        <v>0</v>
      </c>
      <c r="T533" s="8">
        <f t="shared" si="157"/>
        <v>0</v>
      </c>
      <c r="V533" s="8">
        <f t="shared" si="158"/>
        <v>4</v>
      </c>
      <c r="W533">
        <f t="shared" si="159"/>
        <v>1</v>
      </c>
      <c r="Y533" t="str">
        <f t="shared" si="160"/>
        <v>trust</v>
      </c>
    </row>
    <row r="534" spans="2:25" x14ac:dyDescent="0.25">
      <c r="B534" s="5">
        <v>532</v>
      </c>
      <c r="C534" t="s">
        <v>1</v>
      </c>
      <c r="D534" t="s">
        <v>1</v>
      </c>
      <c r="E534" t="s">
        <v>3</v>
      </c>
      <c r="F534" t="s">
        <v>1</v>
      </c>
      <c r="G534" t="s">
        <v>1</v>
      </c>
      <c r="J534" s="19"/>
      <c r="K534" s="5">
        <v>532</v>
      </c>
      <c r="L534" s="8">
        <f t="shared" si="149"/>
        <v>1</v>
      </c>
      <c r="M534" s="8">
        <f t="shared" si="150"/>
        <v>4</v>
      </c>
      <c r="N534" s="8">
        <f t="shared" si="151"/>
        <v>0</v>
      </c>
      <c r="O534" s="8">
        <f t="shared" si="152"/>
        <v>0</v>
      </c>
      <c r="P534" s="8">
        <f t="shared" si="153"/>
        <v>0</v>
      </c>
      <c r="Q534" s="8">
        <f t="shared" si="154"/>
        <v>0</v>
      </c>
      <c r="R534" s="8">
        <f t="shared" si="155"/>
        <v>0</v>
      </c>
      <c r="S534" s="8">
        <f t="shared" si="156"/>
        <v>0</v>
      </c>
      <c r="T534" s="8">
        <f t="shared" si="157"/>
        <v>0</v>
      </c>
      <c r="V534" s="8">
        <f t="shared" si="158"/>
        <v>4</v>
      </c>
      <c r="W534">
        <f t="shared" si="159"/>
        <v>1</v>
      </c>
      <c r="Y534" t="str">
        <f t="shared" si="160"/>
        <v>trust</v>
      </c>
    </row>
    <row r="535" spans="2:25" x14ac:dyDescent="0.25">
      <c r="B535" s="5">
        <v>533</v>
      </c>
      <c r="C535" t="s">
        <v>4</v>
      </c>
      <c r="D535" t="s">
        <v>3</v>
      </c>
      <c r="E535" t="s">
        <v>3</v>
      </c>
      <c r="F535" t="s">
        <v>3</v>
      </c>
      <c r="G535" t="s">
        <v>3</v>
      </c>
      <c r="J535" s="19"/>
      <c r="K535" s="5">
        <v>533</v>
      </c>
      <c r="L535" s="8">
        <f t="shared" si="149"/>
        <v>4</v>
      </c>
      <c r="M535" s="8">
        <f t="shared" si="150"/>
        <v>0</v>
      </c>
      <c r="N535" s="8">
        <f t="shared" si="151"/>
        <v>0</v>
      </c>
      <c r="O535" s="8">
        <f t="shared" si="152"/>
        <v>0</v>
      </c>
      <c r="P535" s="8">
        <f t="shared" si="153"/>
        <v>0</v>
      </c>
      <c r="Q535" s="8">
        <f t="shared" si="154"/>
        <v>0</v>
      </c>
      <c r="R535" s="8">
        <f t="shared" si="155"/>
        <v>1</v>
      </c>
      <c r="S535" s="8">
        <f t="shared" si="156"/>
        <v>0</v>
      </c>
      <c r="T535" s="8">
        <f t="shared" si="157"/>
        <v>0</v>
      </c>
      <c r="V535" s="8">
        <f t="shared" si="158"/>
        <v>4</v>
      </c>
      <c r="W535">
        <f t="shared" si="159"/>
        <v>1</v>
      </c>
      <c r="Y535" t="str">
        <f t="shared" si="160"/>
        <v>joy</v>
      </c>
    </row>
    <row r="536" spans="2:25" x14ac:dyDescent="0.25">
      <c r="B536" s="5">
        <v>534</v>
      </c>
      <c r="C536" t="s">
        <v>4</v>
      </c>
      <c r="D536" t="s">
        <v>5</v>
      </c>
      <c r="E536" t="s">
        <v>5</v>
      </c>
      <c r="F536" t="s">
        <v>5</v>
      </c>
      <c r="G536" t="s">
        <v>1</v>
      </c>
      <c r="J536" s="19">
        <v>1</v>
      </c>
      <c r="K536" s="5">
        <v>534</v>
      </c>
      <c r="L536" s="8">
        <f t="shared" si="149"/>
        <v>0</v>
      </c>
      <c r="M536" s="8">
        <f t="shared" si="150"/>
        <v>1</v>
      </c>
      <c r="N536" s="8">
        <f t="shared" si="151"/>
        <v>0</v>
      </c>
      <c r="O536" s="8">
        <f t="shared" si="152"/>
        <v>0</v>
      </c>
      <c r="P536" s="8">
        <f t="shared" si="153"/>
        <v>3</v>
      </c>
      <c r="Q536" s="8">
        <f t="shared" si="154"/>
        <v>0</v>
      </c>
      <c r="R536" s="8">
        <f t="shared" si="155"/>
        <v>1</v>
      </c>
      <c r="S536" s="8">
        <f t="shared" si="156"/>
        <v>0</v>
      </c>
      <c r="T536" s="8">
        <f t="shared" si="157"/>
        <v>0</v>
      </c>
      <c r="V536" s="8">
        <f t="shared" si="158"/>
        <v>3</v>
      </c>
      <c r="W536">
        <f t="shared" si="159"/>
        <v>1</v>
      </c>
      <c r="Y536" t="str">
        <f t="shared" si="160"/>
        <v>sadness</v>
      </c>
    </row>
    <row r="537" spans="2:25" x14ac:dyDescent="0.25">
      <c r="B537" s="5">
        <v>535</v>
      </c>
      <c r="C537" t="s">
        <v>4</v>
      </c>
      <c r="D537" t="s">
        <v>5</v>
      </c>
      <c r="E537" t="s">
        <v>5</v>
      </c>
      <c r="F537" t="s">
        <v>5</v>
      </c>
      <c r="G537" t="s">
        <v>7</v>
      </c>
      <c r="J537" s="19">
        <v>1</v>
      </c>
      <c r="K537" s="5">
        <v>535</v>
      </c>
      <c r="L537" s="8">
        <f t="shared" si="149"/>
        <v>0</v>
      </c>
      <c r="M537" s="8">
        <f t="shared" si="150"/>
        <v>0</v>
      </c>
      <c r="N537" s="8">
        <f t="shared" si="151"/>
        <v>0</v>
      </c>
      <c r="O537" s="8">
        <f t="shared" si="152"/>
        <v>1</v>
      </c>
      <c r="P537" s="8">
        <f t="shared" si="153"/>
        <v>3</v>
      </c>
      <c r="Q537" s="8">
        <f t="shared" si="154"/>
        <v>0</v>
      </c>
      <c r="R537" s="8">
        <f t="shared" si="155"/>
        <v>1</v>
      </c>
      <c r="S537" s="8">
        <f t="shared" si="156"/>
        <v>0</v>
      </c>
      <c r="T537" s="8">
        <f t="shared" si="157"/>
        <v>0</v>
      </c>
      <c r="V537" s="8">
        <f t="shared" si="158"/>
        <v>3</v>
      </c>
      <c r="W537">
        <f t="shared" si="159"/>
        <v>1</v>
      </c>
      <c r="Y537" t="str">
        <f t="shared" si="160"/>
        <v>sadness</v>
      </c>
    </row>
    <row r="538" spans="2:25" x14ac:dyDescent="0.25">
      <c r="B538" s="5">
        <v>536</v>
      </c>
      <c r="C538" t="s">
        <v>3</v>
      </c>
      <c r="D538" t="s">
        <v>3</v>
      </c>
      <c r="E538" t="s">
        <v>5</v>
      </c>
      <c r="F538" t="s">
        <v>3</v>
      </c>
      <c r="G538" t="s">
        <v>7</v>
      </c>
      <c r="J538" s="19">
        <v>1</v>
      </c>
      <c r="K538" s="5">
        <v>536</v>
      </c>
      <c r="L538" s="8">
        <f t="shared" si="149"/>
        <v>3</v>
      </c>
      <c r="M538" s="8">
        <f t="shared" si="150"/>
        <v>0</v>
      </c>
      <c r="N538" s="8">
        <f t="shared" si="151"/>
        <v>0</v>
      </c>
      <c r="O538" s="8">
        <f t="shared" si="152"/>
        <v>1</v>
      </c>
      <c r="P538" s="8">
        <f t="shared" si="153"/>
        <v>1</v>
      </c>
      <c r="Q538" s="8">
        <f t="shared" si="154"/>
        <v>0</v>
      </c>
      <c r="R538" s="8">
        <f t="shared" si="155"/>
        <v>0</v>
      </c>
      <c r="S538" s="8">
        <f t="shared" si="156"/>
        <v>0</v>
      </c>
      <c r="T538" s="8">
        <f t="shared" si="157"/>
        <v>0</v>
      </c>
      <c r="V538" s="8">
        <f t="shared" si="158"/>
        <v>3</v>
      </c>
      <c r="W538">
        <f t="shared" si="159"/>
        <v>1</v>
      </c>
      <c r="Y538" t="str">
        <f t="shared" si="160"/>
        <v>joy</v>
      </c>
    </row>
    <row r="539" spans="2:25" x14ac:dyDescent="0.25">
      <c r="B539" s="5">
        <v>537</v>
      </c>
      <c r="C539" t="s">
        <v>1</v>
      </c>
      <c r="D539" t="s">
        <v>1</v>
      </c>
      <c r="E539" t="s">
        <v>5</v>
      </c>
      <c r="F539" t="s">
        <v>1</v>
      </c>
      <c r="G539" t="s">
        <v>1</v>
      </c>
      <c r="J539" s="19"/>
      <c r="K539" s="5">
        <v>537</v>
      </c>
      <c r="L539" s="8">
        <f t="shared" si="149"/>
        <v>0</v>
      </c>
      <c r="M539" s="8">
        <f t="shared" si="150"/>
        <v>4</v>
      </c>
      <c r="N539" s="8">
        <f t="shared" si="151"/>
        <v>0</v>
      </c>
      <c r="O539" s="8">
        <f t="shared" si="152"/>
        <v>0</v>
      </c>
      <c r="P539" s="8">
        <f t="shared" si="153"/>
        <v>1</v>
      </c>
      <c r="Q539" s="8">
        <f t="shared" si="154"/>
        <v>0</v>
      </c>
      <c r="R539" s="8">
        <f t="shared" si="155"/>
        <v>0</v>
      </c>
      <c r="S539" s="8">
        <f t="shared" si="156"/>
        <v>0</v>
      </c>
      <c r="T539" s="8">
        <f t="shared" si="157"/>
        <v>0</v>
      </c>
      <c r="V539" s="8">
        <f t="shared" si="158"/>
        <v>4</v>
      </c>
      <c r="W539">
        <f t="shared" si="159"/>
        <v>1</v>
      </c>
      <c r="Y539" t="str">
        <f t="shared" si="160"/>
        <v>trust</v>
      </c>
    </row>
    <row r="540" spans="2:25" x14ac:dyDescent="0.25">
      <c r="B540" s="5">
        <v>538</v>
      </c>
      <c r="C540" t="s">
        <v>3</v>
      </c>
      <c r="D540" t="s">
        <v>3</v>
      </c>
      <c r="E540" t="s">
        <v>3</v>
      </c>
      <c r="F540" t="s">
        <v>3</v>
      </c>
      <c r="G540" t="s">
        <v>1</v>
      </c>
      <c r="J540" s="19"/>
      <c r="K540" s="5">
        <v>538</v>
      </c>
      <c r="L540" s="8">
        <f t="shared" si="149"/>
        <v>4</v>
      </c>
      <c r="M540" s="8">
        <f t="shared" si="150"/>
        <v>1</v>
      </c>
      <c r="N540" s="8">
        <f t="shared" si="151"/>
        <v>0</v>
      </c>
      <c r="O540" s="8">
        <f t="shared" si="152"/>
        <v>0</v>
      </c>
      <c r="P540" s="8">
        <f t="shared" si="153"/>
        <v>0</v>
      </c>
      <c r="Q540" s="8">
        <f t="shared" si="154"/>
        <v>0</v>
      </c>
      <c r="R540" s="8">
        <f t="shared" si="155"/>
        <v>0</v>
      </c>
      <c r="S540" s="8">
        <f t="shared" si="156"/>
        <v>0</v>
      </c>
      <c r="T540" s="8">
        <f t="shared" si="157"/>
        <v>0</v>
      </c>
      <c r="V540" s="8">
        <f t="shared" si="158"/>
        <v>4</v>
      </c>
      <c r="W540">
        <f t="shared" si="159"/>
        <v>1</v>
      </c>
      <c r="Y540" t="str">
        <f t="shared" si="160"/>
        <v>joy</v>
      </c>
    </row>
    <row r="541" spans="2:25" x14ac:dyDescent="0.25">
      <c r="B541" s="5">
        <v>539</v>
      </c>
      <c r="C541" t="s">
        <v>3</v>
      </c>
      <c r="D541" t="s">
        <v>3</v>
      </c>
      <c r="E541" t="s">
        <v>5</v>
      </c>
      <c r="F541" t="s">
        <v>3</v>
      </c>
      <c r="G541" t="s">
        <v>6</v>
      </c>
      <c r="J541" s="19">
        <v>1</v>
      </c>
      <c r="K541" s="5">
        <v>539</v>
      </c>
      <c r="L541" s="8">
        <f t="shared" si="149"/>
        <v>3</v>
      </c>
      <c r="M541" s="8">
        <f t="shared" si="150"/>
        <v>0</v>
      </c>
      <c r="N541" s="8">
        <f t="shared" si="151"/>
        <v>1</v>
      </c>
      <c r="O541" s="8">
        <f t="shared" si="152"/>
        <v>0</v>
      </c>
      <c r="P541" s="8">
        <f t="shared" si="153"/>
        <v>1</v>
      </c>
      <c r="Q541" s="8">
        <f t="shared" si="154"/>
        <v>0</v>
      </c>
      <c r="R541" s="8">
        <f t="shared" si="155"/>
        <v>0</v>
      </c>
      <c r="S541" s="8">
        <f t="shared" si="156"/>
        <v>0</v>
      </c>
      <c r="T541" s="8">
        <f t="shared" si="157"/>
        <v>0</v>
      </c>
      <c r="V541" s="8">
        <f t="shared" si="158"/>
        <v>3</v>
      </c>
      <c r="W541">
        <f t="shared" si="159"/>
        <v>1</v>
      </c>
      <c r="Y541" t="str">
        <f t="shared" si="160"/>
        <v>joy</v>
      </c>
    </row>
    <row r="542" spans="2:25" x14ac:dyDescent="0.25">
      <c r="B542" s="5">
        <v>540</v>
      </c>
      <c r="C542" t="s">
        <v>1</v>
      </c>
      <c r="D542" t="s">
        <v>7</v>
      </c>
      <c r="E542" t="s">
        <v>3</v>
      </c>
      <c r="F542" t="s">
        <v>7</v>
      </c>
      <c r="G542" t="s">
        <v>7</v>
      </c>
      <c r="J542" s="19">
        <v>1</v>
      </c>
      <c r="K542" s="5">
        <v>540</v>
      </c>
      <c r="L542" s="8">
        <f t="shared" si="149"/>
        <v>1</v>
      </c>
      <c r="M542" s="8">
        <f t="shared" si="150"/>
        <v>1</v>
      </c>
      <c r="N542" s="8">
        <f t="shared" si="151"/>
        <v>0</v>
      </c>
      <c r="O542" s="8">
        <f t="shared" si="152"/>
        <v>3</v>
      </c>
      <c r="P542" s="8">
        <f t="shared" si="153"/>
        <v>0</v>
      </c>
      <c r="Q542" s="8">
        <f t="shared" si="154"/>
        <v>0</v>
      </c>
      <c r="R542" s="8">
        <f t="shared" si="155"/>
        <v>0</v>
      </c>
      <c r="S542" s="8">
        <f t="shared" si="156"/>
        <v>0</v>
      </c>
      <c r="T542" s="8">
        <f t="shared" si="157"/>
        <v>0</v>
      </c>
      <c r="V542" s="8">
        <f t="shared" si="158"/>
        <v>3</v>
      </c>
      <c r="W542">
        <f t="shared" si="159"/>
        <v>1</v>
      </c>
      <c r="Y542" t="str">
        <f t="shared" si="160"/>
        <v>surprise</v>
      </c>
    </row>
    <row r="543" spans="2:25" x14ac:dyDescent="0.25">
      <c r="B543" s="5">
        <v>541</v>
      </c>
      <c r="C543" t="s">
        <v>3</v>
      </c>
      <c r="D543" t="s">
        <v>3</v>
      </c>
      <c r="E543" t="s">
        <v>3</v>
      </c>
      <c r="F543" t="s">
        <v>3</v>
      </c>
      <c r="G543" t="s">
        <v>1</v>
      </c>
      <c r="J543" s="19"/>
      <c r="K543" s="5">
        <v>541</v>
      </c>
      <c r="L543" s="8">
        <f t="shared" si="149"/>
        <v>4</v>
      </c>
      <c r="M543" s="8">
        <f t="shared" si="150"/>
        <v>1</v>
      </c>
      <c r="N543" s="8">
        <f t="shared" si="151"/>
        <v>0</v>
      </c>
      <c r="O543" s="8">
        <f t="shared" si="152"/>
        <v>0</v>
      </c>
      <c r="P543" s="8">
        <f t="shared" si="153"/>
        <v>0</v>
      </c>
      <c r="Q543" s="8">
        <f t="shared" si="154"/>
        <v>0</v>
      </c>
      <c r="R543" s="8">
        <f t="shared" si="155"/>
        <v>0</v>
      </c>
      <c r="S543" s="8">
        <f t="shared" si="156"/>
        <v>0</v>
      </c>
      <c r="T543" s="8">
        <f t="shared" si="157"/>
        <v>0</v>
      </c>
      <c r="V543" s="8">
        <f t="shared" si="158"/>
        <v>4</v>
      </c>
      <c r="W543">
        <f t="shared" si="159"/>
        <v>1</v>
      </c>
      <c r="Y543" t="str">
        <f t="shared" si="160"/>
        <v>joy</v>
      </c>
    </row>
    <row r="544" spans="2:25" x14ac:dyDescent="0.25">
      <c r="B544" s="5">
        <v>542</v>
      </c>
      <c r="C544" t="s">
        <v>3</v>
      </c>
      <c r="D544" t="s">
        <v>3</v>
      </c>
      <c r="E544" t="s">
        <v>2</v>
      </c>
      <c r="F544" t="s">
        <v>3</v>
      </c>
      <c r="G544" t="s">
        <v>3</v>
      </c>
      <c r="J544" s="19"/>
      <c r="K544" s="5">
        <v>542</v>
      </c>
      <c r="L544" s="8">
        <f t="shared" si="149"/>
        <v>4</v>
      </c>
      <c r="M544" s="8">
        <f t="shared" si="150"/>
        <v>0</v>
      </c>
      <c r="N544" s="8">
        <f t="shared" si="151"/>
        <v>0</v>
      </c>
      <c r="O544" s="8">
        <f t="shared" si="152"/>
        <v>0</v>
      </c>
      <c r="P544" s="8">
        <f t="shared" si="153"/>
        <v>0</v>
      </c>
      <c r="Q544" s="8">
        <f t="shared" si="154"/>
        <v>0</v>
      </c>
      <c r="R544" s="8">
        <f t="shared" si="155"/>
        <v>0</v>
      </c>
      <c r="S544" s="8">
        <f t="shared" si="156"/>
        <v>0</v>
      </c>
      <c r="T544" s="8">
        <f t="shared" si="157"/>
        <v>1</v>
      </c>
      <c r="V544" s="8">
        <f t="shared" si="158"/>
        <v>4</v>
      </c>
      <c r="W544">
        <f t="shared" si="159"/>
        <v>1</v>
      </c>
      <c r="Y544" t="str">
        <f t="shared" si="160"/>
        <v>joy</v>
      </c>
    </row>
    <row r="545" spans="2:25" x14ac:dyDescent="0.25">
      <c r="B545" s="5">
        <v>543</v>
      </c>
      <c r="C545" t="s">
        <v>3</v>
      </c>
      <c r="D545" t="s">
        <v>3</v>
      </c>
      <c r="E545" t="s">
        <v>3</v>
      </c>
      <c r="F545" t="s">
        <v>3</v>
      </c>
      <c r="G545" t="s">
        <v>3</v>
      </c>
      <c r="J545" s="19"/>
      <c r="K545" s="5">
        <v>543</v>
      </c>
      <c r="L545" s="8">
        <f t="shared" si="149"/>
        <v>5</v>
      </c>
      <c r="M545" s="8">
        <f t="shared" si="150"/>
        <v>0</v>
      </c>
      <c r="N545" s="8">
        <f t="shared" si="151"/>
        <v>0</v>
      </c>
      <c r="O545" s="8">
        <f t="shared" si="152"/>
        <v>0</v>
      </c>
      <c r="P545" s="8">
        <f t="shared" si="153"/>
        <v>0</v>
      </c>
      <c r="Q545" s="8">
        <f t="shared" si="154"/>
        <v>0</v>
      </c>
      <c r="R545" s="8">
        <f t="shared" si="155"/>
        <v>0</v>
      </c>
      <c r="S545" s="8">
        <f t="shared" si="156"/>
        <v>0</v>
      </c>
      <c r="T545" s="8">
        <f t="shared" si="157"/>
        <v>0</v>
      </c>
      <c r="V545" s="8">
        <f t="shared" si="158"/>
        <v>5</v>
      </c>
      <c r="W545">
        <f t="shared" si="159"/>
        <v>1</v>
      </c>
      <c r="Y545" t="str">
        <f t="shared" si="160"/>
        <v>joy</v>
      </c>
    </row>
    <row r="546" spans="2:25" x14ac:dyDescent="0.25">
      <c r="B546" s="5">
        <v>544</v>
      </c>
      <c r="C546" t="s">
        <v>3</v>
      </c>
      <c r="D546" t="s">
        <v>3</v>
      </c>
      <c r="E546" t="s">
        <v>3</v>
      </c>
      <c r="F546" t="s">
        <v>3</v>
      </c>
      <c r="G546" t="s">
        <v>1</v>
      </c>
      <c r="J546" s="19"/>
      <c r="K546" s="5">
        <v>544</v>
      </c>
      <c r="L546" s="8">
        <f t="shared" si="149"/>
        <v>4</v>
      </c>
      <c r="M546" s="8">
        <f t="shared" si="150"/>
        <v>1</v>
      </c>
      <c r="N546" s="8">
        <f t="shared" si="151"/>
        <v>0</v>
      </c>
      <c r="O546" s="8">
        <f t="shared" si="152"/>
        <v>0</v>
      </c>
      <c r="P546" s="8">
        <f t="shared" si="153"/>
        <v>0</v>
      </c>
      <c r="Q546" s="8">
        <f t="shared" si="154"/>
        <v>0</v>
      </c>
      <c r="R546" s="8">
        <f t="shared" si="155"/>
        <v>0</v>
      </c>
      <c r="S546" s="8">
        <f t="shared" si="156"/>
        <v>0</v>
      </c>
      <c r="T546" s="8">
        <f t="shared" si="157"/>
        <v>0</v>
      </c>
      <c r="V546" s="8">
        <f t="shared" si="158"/>
        <v>4</v>
      </c>
      <c r="W546">
        <f t="shared" si="159"/>
        <v>1</v>
      </c>
      <c r="Y546" t="str">
        <f t="shared" si="160"/>
        <v>joy</v>
      </c>
    </row>
    <row r="547" spans="2:25" x14ac:dyDescent="0.25">
      <c r="B547" s="5">
        <v>545</v>
      </c>
      <c r="C547" t="s">
        <v>3</v>
      </c>
      <c r="D547" t="s">
        <v>3</v>
      </c>
      <c r="E547" t="s">
        <v>3</v>
      </c>
      <c r="F547" t="s">
        <v>3</v>
      </c>
      <c r="G547" t="s">
        <v>1</v>
      </c>
      <c r="J547" s="19"/>
      <c r="K547" s="5">
        <v>545</v>
      </c>
      <c r="L547" s="8">
        <f t="shared" si="149"/>
        <v>4</v>
      </c>
      <c r="M547" s="8">
        <f t="shared" si="150"/>
        <v>1</v>
      </c>
      <c r="N547" s="8">
        <f t="shared" si="151"/>
        <v>0</v>
      </c>
      <c r="O547" s="8">
        <f t="shared" si="152"/>
        <v>0</v>
      </c>
      <c r="P547" s="8">
        <f t="shared" si="153"/>
        <v>0</v>
      </c>
      <c r="Q547" s="8">
        <f t="shared" si="154"/>
        <v>0</v>
      </c>
      <c r="R547" s="8">
        <f t="shared" si="155"/>
        <v>0</v>
      </c>
      <c r="S547" s="8">
        <f t="shared" si="156"/>
        <v>0</v>
      </c>
      <c r="T547" s="8">
        <f t="shared" si="157"/>
        <v>0</v>
      </c>
      <c r="V547" s="8">
        <f t="shared" si="158"/>
        <v>4</v>
      </c>
      <c r="W547">
        <f t="shared" si="159"/>
        <v>1</v>
      </c>
      <c r="Y547" t="str">
        <f t="shared" si="160"/>
        <v>joy</v>
      </c>
    </row>
    <row r="548" spans="2:25" x14ac:dyDescent="0.25">
      <c r="B548" s="5">
        <v>546</v>
      </c>
      <c r="C548" t="s">
        <v>3</v>
      </c>
      <c r="D548" t="s">
        <v>3</v>
      </c>
      <c r="E548" t="s">
        <v>3</v>
      </c>
      <c r="F548" t="s">
        <v>3</v>
      </c>
      <c r="G548" t="s">
        <v>1</v>
      </c>
      <c r="J548" s="19"/>
      <c r="K548" s="5">
        <v>546</v>
      </c>
      <c r="L548" s="8">
        <f t="shared" si="149"/>
        <v>4</v>
      </c>
      <c r="M548" s="8">
        <f t="shared" si="150"/>
        <v>1</v>
      </c>
      <c r="N548" s="8">
        <f t="shared" si="151"/>
        <v>0</v>
      </c>
      <c r="O548" s="8">
        <f t="shared" si="152"/>
        <v>0</v>
      </c>
      <c r="P548" s="8">
        <f t="shared" si="153"/>
        <v>0</v>
      </c>
      <c r="Q548" s="8">
        <f t="shared" si="154"/>
        <v>0</v>
      </c>
      <c r="R548" s="8">
        <f t="shared" si="155"/>
        <v>0</v>
      </c>
      <c r="S548" s="8">
        <f t="shared" si="156"/>
        <v>0</v>
      </c>
      <c r="T548" s="8">
        <f t="shared" si="157"/>
        <v>0</v>
      </c>
      <c r="V548" s="8">
        <f t="shared" si="158"/>
        <v>4</v>
      </c>
      <c r="W548">
        <f t="shared" si="159"/>
        <v>1</v>
      </c>
      <c r="Y548" t="str">
        <f t="shared" si="160"/>
        <v>joy</v>
      </c>
    </row>
    <row r="549" spans="2:25" x14ac:dyDescent="0.25">
      <c r="B549" s="5">
        <v>547</v>
      </c>
      <c r="C549" t="s">
        <v>3</v>
      </c>
      <c r="D549" t="s">
        <v>3</v>
      </c>
      <c r="E549" t="s">
        <v>3</v>
      </c>
      <c r="F549" t="s">
        <v>3</v>
      </c>
      <c r="G549" t="s">
        <v>1</v>
      </c>
      <c r="J549" s="19"/>
      <c r="K549" s="5">
        <v>547</v>
      </c>
      <c r="L549" s="8">
        <f t="shared" si="149"/>
        <v>4</v>
      </c>
      <c r="M549" s="8">
        <f t="shared" si="150"/>
        <v>1</v>
      </c>
      <c r="N549" s="8">
        <f t="shared" si="151"/>
        <v>0</v>
      </c>
      <c r="O549" s="8">
        <f t="shared" si="152"/>
        <v>0</v>
      </c>
      <c r="P549" s="8">
        <f t="shared" si="153"/>
        <v>0</v>
      </c>
      <c r="Q549" s="8">
        <f t="shared" si="154"/>
        <v>0</v>
      </c>
      <c r="R549" s="8">
        <f t="shared" si="155"/>
        <v>0</v>
      </c>
      <c r="S549" s="8">
        <f t="shared" si="156"/>
        <v>0</v>
      </c>
      <c r="T549" s="8">
        <f t="shared" si="157"/>
        <v>0</v>
      </c>
      <c r="V549" s="8">
        <f t="shared" si="158"/>
        <v>4</v>
      </c>
      <c r="W549">
        <f t="shared" si="159"/>
        <v>1</v>
      </c>
      <c r="Y549" t="str">
        <f t="shared" si="160"/>
        <v>joy</v>
      </c>
    </row>
    <row r="550" spans="2:25" x14ac:dyDescent="0.25">
      <c r="B550" s="5">
        <v>548</v>
      </c>
      <c r="C550" t="s">
        <v>3</v>
      </c>
      <c r="D550" t="s">
        <v>3</v>
      </c>
      <c r="E550" t="s">
        <v>3</v>
      </c>
      <c r="F550" t="s">
        <v>3</v>
      </c>
      <c r="G550" t="s">
        <v>8</v>
      </c>
      <c r="J550" s="19"/>
      <c r="K550" s="5">
        <v>548</v>
      </c>
      <c r="L550" s="8">
        <f t="shared" si="149"/>
        <v>4</v>
      </c>
      <c r="M550" s="8">
        <f t="shared" si="150"/>
        <v>0</v>
      </c>
      <c r="N550" s="8">
        <f t="shared" si="151"/>
        <v>0</v>
      </c>
      <c r="O550" s="8">
        <f t="shared" si="152"/>
        <v>0</v>
      </c>
      <c r="P550" s="8">
        <f t="shared" si="153"/>
        <v>0</v>
      </c>
      <c r="Q550" s="8">
        <f t="shared" si="154"/>
        <v>0</v>
      </c>
      <c r="R550" s="8">
        <f t="shared" si="155"/>
        <v>0</v>
      </c>
      <c r="S550" s="8">
        <f t="shared" si="156"/>
        <v>1</v>
      </c>
      <c r="T550" s="8">
        <f t="shared" si="157"/>
        <v>0</v>
      </c>
      <c r="V550" s="8">
        <f t="shared" si="158"/>
        <v>4</v>
      </c>
      <c r="W550">
        <f t="shared" si="159"/>
        <v>1</v>
      </c>
      <c r="Y550" t="str">
        <f t="shared" si="160"/>
        <v>joy</v>
      </c>
    </row>
    <row r="551" spans="2:25" x14ac:dyDescent="0.25">
      <c r="B551" s="5">
        <v>549</v>
      </c>
      <c r="C551" t="s">
        <v>3</v>
      </c>
      <c r="D551" t="s">
        <v>3</v>
      </c>
      <c r="E551" t="s">
        <v>3</v>
      </c>
      <c r="F551" t="s">
        <v>3</v>
      </c>
      <c r="G551" t="s">
        <v>8</v>
      </c>
      <c r="J551" s="19"/>
      <c r="K551" s="5">
        <v>549</v>
      </c>
      <c r="L551" s="8">
        <f t="shared" si="149"/>
        <v>4</v>
      </c>
      <c r="M551" s="8">
        <f t="shared" si="150"/>
        <v>0</v>
      </c>
      <c r="N551" s="8">
        <f t="shared" si="151"/>
        <v>0</v>
      </c>
      <c r="O551" s="8">
        <f t="shared" si="152"/>
        <v>0</v>
      </c>
      <c r="P551" s="8">
        <f t="shared" si="153"/>
        <v>0</v>
      </c>
      <c r="Q551" s="8">
        <f t="shared" si="154"/>
        <v>0</v>
      </c>
      <c r="R551" s="8">
        <f t="shared" si="155"/>
        <v>0</v>
      </c>
      <c r="S551" s="8">
        <f t="shared" si="156"/>
        <v>1</v>
      </c>
      <c r="T551" s="8">
        <f t="shared" si="157"/>
        <v>0</v>
      </c>
      <c r="V551" s="8">
        <f t="shared" si="158"/>
        <v>4</v>
      </c>
      <c r="W551">
        <f t="shared" si="159"/>
        <v>1</v>
      </c>
      <c r="Y551" t="str">
        <f t="shared" si="160"/>
        <v>joy</v>
      </c>
    </row>
    <row r="552" spans="2:25" x14ac:dyDescent="0.25">
      <c r="B552" s="5">
        <v>550</v>
      </c>
      <c r="C552" t="s">
        <v>3</v>
      </c>
      <c r="D552" t="s">
        <v>3</v>
      </c>
      <c r="E552" t="s">
        <v>3</v>
      </c>
      <c r="F552" t="s">
        <v>3</v>
      </c>
      <c r="G552" t="s">
        <v>8</v>
      </c>
      <c r="J552" s="19"/>
      <c r="K552" s="5">
        <v>550</v>
      </c>
      <c r="L552" s="8">
        <f t="shared" si="149"/>
        <v>4</v>
      </c>
      <c r="M552" s="8">
        <f t="shared" si="150"/>
        <v>0</v>
      </c>
      <c r="N552" s="8">
        <f t="shared" si="151"/>
        <v>0</v>
      </c>
      <c r="O552" s="8">
        <f t="shared" si="152"/>
        <v>0</v>
      </c>
      <c r="P552" s="8">
        <f t="shared" si="153"/>
        <v>0</v>
      </c>
      <c r="Q552" s="8">
        <f t="shared" si="154"/>
        <v>0</v>
      </c>
      <c r="R552" s="8">
        <f t="shared" si="155"/>
        <v>0</v>
      </c>
      <c r="S552" s="8">
        <f t="shared" si="156"/>
        <v>1</v>
      </c>
      <c r="T552" s="8">
        <f t="shared" si="157"/>
        <v>0</v>
      </c>
      <c r="V552" s="8">
        <f t="shared" si="158"/>
        <v>4</v>
      </c>
      <c r="W552">
        <f t="shared" si="159"/>
        <v>1</v>
      </c>
      <c r="Y552" t="str">
        <f t="shared" si="160"/>
        <v>joy</v>
      </c>
    </row>
    <row r="553" spans="2:25" x14ac:dyDescent="0.25">
      <c r="B553" s="5">
        <v>551</v>
      </c>
      <c r="C553" t="s">
        <v>3</v>
      </c>
      <c r="D553" t="s">
        <v>3</v>
      </c>
      <c r="E553" t="s">
        <v>3</v>
      </c>
      <c r="F553" t="s">
        <v>3</v>
      </c>
      <c r="G553" t="s">
        <v>8</v>
      </c>
      <c r="J553" s="19"/>
      <c r="K553" s="5">
        <v>551</v>
      </c>
      <c r="L553" s="8">
        <f t="shared" si="149"/>
        <v>4</v>
      </c>
      <c r="M553" s="8">
        <f t="shared" si="150"/>
        <v>0</v>
      </c>
      <c r="N553" s="8">
        <f t="shared" si="151"/>
        <v>0</v>
      </c>
      <c r="O553" s="8">
        <f t="shared" si="152"/>
        <v>0</v>
      </c>
      <c r="P553" s="8">
        <f t="shared" si="153"/>
        <v>0</v>
      </c>
      <c r="Q553" s="8">
        <f t="shared" si="154"/>
        <v>0</v>
      </c>
      <c r="R553" s="8">
        <f t="shared" si="155"/>
        <v>0</v>
      </c>
      <c r="S553" s="8">
        <f t="shared" si="156"/>
        <v>1</v>
      </c>
      <c r="T553" s="8">
        <f t="shared" si="157"/>
        <v>0</v>
      </c>
      <c r="V553" s="8">
        <f t="shared" si="158"/>
        <v>4</v>
      </c>
      <c r="W553">
        <f t="shared" si="159"/>
        <v>1</v>
      </c>
      <c r="Y553" t="str">
        <f t="shared" si="160"/>
        <v>joy</v>
      </c>
    </row>
    <row r="554" spans="2:25" x14ac:dyDescent="0.25">
      <c r="B554" s="5">
        <v>552</v>
      </c>
      <c r="C554" t="s">
        <v>1</v>
      </c>
      <c r="D554" t="s">
        <v>1</v>
      </c>
      <c r="E554" t="s">
        <v>2</v>
      </c>
      <c r="F554" t="s">
        <v>1</v>
      </c>
      <c r="G554" t="s">
        <v>1</v>
      </c>
      <c r="J554" s="19"/>
      <c r="K554" s="5">
        <v>552</v>
      </c>
      <c r="L554" s="8">
        <f t="shared" si="149"/>
        <v>0</v>
      </c>
      <c r="M554" s="8">
        <f t="shared" si="150"/>
        <v>4</v>
      </c>
      <c r="N554" s="8">
        <f t="shared" si="151"/>
        <v>0</v>
      </c>
      <c r="O554" s="8">
        <f t="shared" si="152"/>
        <v>0</v>
      </c>
      <c r="P554" s="8">
        <f t="shared" si="153"/>
        <v>0</v>
      </c>
      <c r="Q554" s="8">
        <f t="shared" si="154"/>
        <v>0</v>
      </c>
      <c r="R554" s="8">
        <f t="shared" si="155"/>
        <v>0</v>
      </c>
      <c r="S554" s="8">
        <f t="shared" si="156"/>
        <v>0</v>
      </c>
      <c r="T554" s="8">
        <f t="shared" si="157"/>
        <v>1</v>
      </c>
      <c r="V554" s="8">
        <f t="shared" si="158"/>
        <v>4</v>
      </c>
      <c r="W554">
        <f t="shared" si="159"/>
        <v>1</v>
      </c>
      <c r="Y554" t="str">
        <f t="shared" si="160"/>
        <v>trust</v>
      </c>
    </row>
    <row r="555" spans="2:25" x14ac:dyDescent="0.25">
      <c r="B555" s="5">
        <v>553</v>
      </c>
      <c r="C555" t="s">
        <v>1</v>
      </c>
      <c r="D555" t="s">
        <v>1</v>
      </c>
      <c r="E555" t="s">
        <v>3</v>
      </c>
      <c r="F555" t="s">
        <v>1</v>
      </c>
      <c r="G555" t="s">
        <v>2</v>
      </c>
      <c r="J555" s="19">
        <v>1</v>
      </c>
      <c r="K555" s="5">
        <v>553</v>
      </c>
      <c r="L555" s="8">
        <f t="shared" si="149"/>
        <v>1</v>
      </c>
      <c r="M555" s="8">
        <f t="shared" si="150"/>
        <v>3</v>
      </c>
      <c r="N555" s="8">
        <f t="shared" si="151"/>
        <v>0</v>
      </c>
      <c r="O555" s="8">
        <f t="shared" si="152"/>
        <v>0</v>
      </c>
      <c r="P555" s="8">
        <f t="shared" si="153"/>
        <v>0</v>
      </c>
      <c r="Q555" s="8">
        <f t="shared" si="154"/>
        <v>0</v>
      </c>
      <c r="R555" s="8">
        <f t="shared" si="155"/>
        <v>0</v>
      </c>
      <c r="S555" s="8">
        <f t="shared" si="156"/>
        <v>0</v>
      </c>
      <c r="T555" s="8">
        <f t="shared" si="157"/>
        <v>1</v>
      </c>
      <c r="V555" s="8">
        <f t="shared" si="158"/>
        <v>3</v>
      </c>
      <c r="W555">
        <f t="shared" si="159"/>
        <v>1</v>
      </c>
      <c r="Y555" t="str">
        <f t="shared" si="160"/>
        <v>trust</v>
      </c>
    </row>
    <row r="556" spans="2:25" x14ac:dyDescent="0.25">
      <c r="B556" s="5">
        <v>554</v>
      </c>
      <c r="C556" t="s">
        <v>3</v>
      </c>
      <c r="D556" t="s">
        <v>1</v>
      </c>
      <c r="E556" t="s">
        <v>2</v>
      </c>
      <c r="F556" t="s">
        <v>1</v>
      </c>
      <c r="G556" t="s">
        <v>1</v>
      </c>
      <c r="J556" s="19">
        <v>1</v>
      </c>
      <c r="K556" s="5">
        <v>554</v>
      </c>
      <c r="L556" s="8">
        <f t="shared" si="149"/>
        <v>1</v>
      </c>
      <c r="M556" s="8">
        <f t="shared" si="150"/>
        <v>3</v>
      </c>
      <c r="N556" s="8">
        <f t="shared" si="151"/>
        <v>0</v>
      </c>
      <c r="O556" s="8">
        <f t="shared" si="152"/>
        <v>0</v>
      </c>
      <c r="P556" s="8">
        <f t="shared" si="153"/>
        <v>0</v>
      </c>
      <c r="Q556" s="8">
        <f t="shared" si="154"/>
        <v>0</v>
      </c>
      <c r="R556" s="8">
        <f t="shared" si="155"/>
        <v>0</v>
      </c>
      <c r="S556" s="8">
        <f t="shared" si="156"/>
        <v>0</v>
      </c>
      <c r="T556" s="8">
        <f t="shared" si="157"/>
        <v>1</v>
      </c>
      <c r="V556" s="8">
        <f t="shared" si="158"/>
        <v>3</v>
      </c>
      <c r="W556">
        <f t="shared" si="159"/>
        <v>1</v>
      </c>
      <c r="Y556" t="str">
        <f t="shared" si="160"/>
        <v>trust</v>
      </c>
    </row>
    <row r="557" spans="2:25" x14ac:dyDescent="0.25">
      <c r="B557" s="5">
        <v>555</v>
      </c>
      <c r="C557" t="s">
        <v>3</v>
      </c>
      <c r="D557" t="s">
        <v>3</v>
      </c>
      <c r="E557" t="s">
        <v>3</v>
      </c>
      <c r="F557" t="s">
        <v>3</v>
      </c>
      <c r="G557" t="s">
        <v>1</v>
      </c>
      <c r="J557" s="19"/>
      <c r="K557" s="5">
        <v>555</v>
      </c>
      <c r="L557" s="8">
        <f t="shared" si="149"/>
        <v>4</v>
      </c>
      <c r="M557" s="8">
        <f t="shared" si="150"/>
        <v>1</v>
      </c>
      <c r="N557" s="8">
        <f t="shared" si="151"/>
        <v>0</v>
      </c>
      <c r="O557" s="8">
        <f t="shared" si="152"/>
        <v>0</v>
      </c>
      <c r="P557" s="8">
        <f t="shared" si="153"/>
        <v>0</v>
      </c>
      <c r="Q557" s="8">
        <f t="shared" si="154"/>
        <v>0</v>
      </c>
      <c r="R557" s="8">
        <f t="shared" si="155"/>
        <v>0</v>
      </c>
      <c r="S557" s="8">
        <f t="shared" si="156"/>
        <v>0</v>
      </c>
      <c r="T557" s="8">
        <f t="shared" si="157"/>
        <v>0</v>
      </c>
      <c r="V557" s="8">
        <f t="shared" si="158"/>
        <v>4</v>
      </c>
      <c r="W557">
        <f t="shared" si="159"/>
        <v>1</v>
      </c>
      <c r="Y557" t="str">
        <f t="shared" si="160"/>
        <v>joy</v>
      </c>
    </row>
    <row r="558" spans="2:25" x14ac:dyDescent="0.25">
      <c r="B558" s="5">
        <v>556</v>
      </c>
      <c r="C558" t="s">
        <v>3</v>
      </c>
      <c r="D558" t="s">
        <v>3</v>
      </c>
      <c r="E558" t="s">
        <v>3</v>
      </c>
      <c r="F558" t="s">
        <v>3</v>
      </c>
      <c r="G558" t="s">
        <v>1</v>
      </c>
      <c r="J558" s="19"/>
      <c r="K558" s="5">
        <v>556</v>
      </c>
      <c r="L558" s="8">
        <f t="shared" si="149"/>
        <v>4</v>
      </c>
      <c r="M558" s="8">
        <f t="shared" si="150"/>
        <v>1</v>
      </c>
      <c r="N558" s="8">
        <f t="shared" si="151"/>
        <v>0</v>
      </c>
      <c r="O558" s="8">
        <f t="shared" si="152"/>
        <v>0</v>
      </c>
      <c r="P558" s="8">
        <f t="shared" si="153"/>
        <v>0</v>
      </c>
      <c r="Q558" s="8">
        <f t="shared" si="154"/>
        <v>0</v>
      </c>
      <c r="R558" s="8">
        <f t="shared" si="155"/>
        <v>0</v>
      </c>
      <c r="S558" s="8">
        <f t="shared" si="156"/>
        <v>0</v>
      </c>
      <c r="T558" s="8">
        <f t="shared" si="157"/>
        <v>0</v>
      </c>
      <c r="V558" s="8">
        <f t="shared" si="158"/>
        <v>4</v>
      </c>
      <c r="W558">
        <f t="shared" si="159"/>
        <v>1</v>
      </c>
      <c r="Y558" t="str">
        <f t="shared" si="160"/>
        <v>joy</v>
      </c>
    </row>
    <row r="559" spans="2:25" x14ac:dyDescent="0.25">
      <c r="B559" s="5">
        <v>557</v>
      </c>
      <c r="C559" t="s">
        <v>1</v>
      </c>
      <c r="D559" t="s">
        <v>1</v>
      </c>
      <c r="E559" t="s">
        <v>1</v>
      </c>
      <c r="F559" t="s">
        <v>1</v>
      </c>
      <c r="G559" t="s">
        <v>0</v>
      </c>
      <c r="J559" s="19"/>
      <c r="K559" s="5">
        <v>557</v>
      </c>
      <c r="L559" s="8">
        <f t="shared" si="149"/>
        <v>0</v>
      </c>
      <c r="M559" s="8">
        <f t="shared" si="150"/>
        <v>4</v>
      </c>
      <c r="N559" s="8">
        <f t="shared" si="151"/>
        <v>0</v>
      </c>
      <c r="O559" s="8">
        <f t="shared" si="152"/>
        <v>0</v>
      </c>
      <c r="P559" s="8">
        <f t="shared" si="153"/>
        <v>0</v>
      </c>
      <c r="Q559" s="8">
        <f t="shared" si="154"/>
        <v>1</v>
      </c>
      <c r="R559" s="8">
        <f t="shared" si="155"/>
        <v>0</v>
      </c>
      <c r="S559" s="8">
        <f t="shared" si="156"/>
        <v>0</v>
      </c>
      <c r="T559" s="8">
        <f t="shared" si="157"/>
        <v>0</v>
      </c>
      <c r="V559" s="8">
        <f t="shared" si="158"/>
        <v>4</v>
      </c>
      <c r="W559">
        <f t="shared" si="159"/>
        <v>1</v>
      </c>
      <c r="Y559" t="str">
        <f t="shared" si="160"/>
        <v>trust</v>
      </c>
    </row>
    <row r="560" spans="2:25" x14ac:dyDescent="0.25">
      <c r="B560" s="5">
        <v>558</v>
      </c>
      <c r="C560" t="s">
        <v>1</v>
      </c>
      <c r="D560" t="s">
        <v>1</v>
      </c>
      <c r="E560" t="s">
        <v>3</v>
      </c>
      <c r="F560" t="s">
        <v>1</v>
      </c>
      <c r="G560" t="s">
        <v>8</v>
      </c>
      <c r="J560" s="19">
        <v>1</v>
      </c>
      <c r="K560" s="5">
        <v>558</v>
      </c>
      <c r="L560" s="8">
        <f t="shared" si="149"/>
        <v>1</v>
      </c>
      <c r="M560" s="8">
        <f t="shared" si="150"/>
        <v>3</v>
      </c>
      <c r="N560" s="8">
        <f t="shared" si="151"/>
        <v>0</v>
      </c>
      <c r="O560" s="8">
        <f t="shared" si="152"/>
        <v>0</v>
      </c>
      <c r="P560" s="8">
        <f t="shared" si="153"/>
        <v>0</v>
      </c>
      <c r="Q560" s="8">
        <f t="shared" si="154"/>
        <v>0</v>
      </c>
      <c r="R560" s="8">
        <f t="shared" si="155"/>
        <v>0</v>
      </c>
      <c r="S560" s="8">
        <f t="shared" si="156"/>
        <v>1</v>
      </c>
      <c r="T560" s="8">
        <f t="shared" si="157"/>
        <v>0</v>
      </c>
      <c r="V560" s="8">
        <f t="shared" si="158"/>
        <v>3</v>
      </c>
      <c r="W560">
        <f t="shared" si="159"/>
        <v>1</v>
      </c>
      <c r="Y560" t="str">
        <f t="shared" si="160"/>
        <v>trust</v>
      </c>
    </row>
    <row r="561" spans="2:25" x14ac:dyDescent="0.25">
      <c r="B561" s="5">
        <v>559</v>
      </c>
      <c r="C561" t="s">
        <v>1</v>
      </c>
      <c r="D561" t="s">
        <v>3</v>
      </c>
      <c r="E561" t="s">
        <v>3</v>
      </c>
      <c r="F561" t="s">
        <v>3</v>
      </c>
      <c r="G561" t="s">
        <v>3</v>
      </c>
      <c r="J561" s="19"/>
      <c r="K561" s="5">
        <v>559</v>
      </c>
      <c r="L561" s="8">
        <f t="shared" si="149"/>
        <v>4</v>
      </c>
      <c r="M561" s="8">
        <f t="shared" si="150"/>
        <v>1</v>
      </c>
      <c r="N561" s="8">
        <f t="shared" si="151"/>
        <v>0</v>
      </c>
      <c r="O561" s="8">
        <f t="shared" si="152"/>
        <v>0</v>
      </c>
      <c r="P561" s="8">
        <f t="shared" si="153"/>
        <v>0</v>
      </c>
      <c r="Q561" s="8">
        <f t="shared" si="154"/>
        <v>0</v>
      </c>
      <c r="R561" s="8">
        <f t="shared" si="155"/>
        <v>0</v>
      </c>
      <c r="S561" s="8">
        <f t="shared" si="156"/>
        <v>0</v>
      </c>
      <c r="T561" s="8">
        <f t="shared" si="157"/>
        <v>0</v>
      </c>
      <c r="V561" s="8">
        <f t="shared" si="158"/>
        <v>4</v>
      </c>
      <c r="W561">
        <f t="shared" si="159"/>
        <v>1</v>
      </c>
      <c r="Y561" t="str">
        <f t="shared" si="160"/>
        <v>joy</v>
      </c>
    </row>
    <row r="562" spans="2:25" x14ac:dyDescent="0.25">
      <c r="B562" s="5">
        <v>560</v>
      </c>
      <c r="C562" t="s">
        <v>3</v>
      </c>
      <c r="D562" t="s">
        <v>3</v>
      </c>
      <c r="E562" t="s">
        <v>3</v>
      </c>
      <c r="F562" t="s">
        <v>3</v>
      </c>
      <c r="G562" t="s">
        <v>0</v>
      </c>
      <c r="J562" s="19"/>
      <c r="K562" s="5">
        <v>560</v>
      </c>
      <c r="L562" s="8">
        <f t="shared" si="149"/>
        <v>4</v>
      </c>
      <c r="M562" s="8">
        <f t="shared" si="150"/>
        <v>0</v>
      </c>
      <c r="N562" s="8">
        <f t="shared" si="151"/>
        <v>0</v>
      </c>
      <c r="O562" s="8">
        <f t="shared" si="152"/>
        <v>0</v>
      </c>
      <c r="P562" s="8">
        <f t="shared" si="153"/>
        <v>0</v>
      </c>
      <c r="Q562" s="8">
        <f t="shared" si="154"/>
        <v>1</v>
      </c>
      <c r="R562" s="8">
        <f t="shared" si="155"/>
        <v>0</v>
      </c>
      <c r="S562" s="8">
        <f t="shared" si="156"/>
        <v>0</v>
      </c>
      <c r="T562" s="8">
        <f t="shared" si="157"/>
        <v>0</v>
      </c>
      <c r="V562" s="8">
        <f t="shared" si="158"/>
        <v>4</v>
      </c>
      <c r="W562">
        <f t="shared" si="159"/>
        <v>1</v>
      </c>
      <c r="Y562" t="str">
        <f t="shared" si="160"/>
        <v>joy</v>
      </c>
    </row>
    <row r="563" spans="2:25" x14ac:dyDescent="0.25">
      <c r="B563" s="5">
        <v>561</v>
      </c>
      <c r="C563" t="s">
        <v>3</v>
      </c>
      <c r="D563" t="s">
        <v>3</v>
      </c>
      <c r="E563" t="s">
        <v>3</v>
      </c>
      <c r="F563" t="s">
        <v>3</v>
      </c>
      <c r="G563" t="s">
        <v>1</v>
      </c>
      <c r="J563" s="19"/>
      <c r="K563" s="5">
        <v>561</v>
      </c>
      <c r="L563" s="8">
        <f t="shared" si="149"/>
        <v>4</v>
      </c>
      <c r="M563" s="8">
        <f t="shared" si="150"/>
        <v>1</v>
      </c>
      <c r="N563" s="8">
        <f t="shared" si="151"/>
        <v>0</v>
      </c>
      <c r="O563" s="8">
        <f t="shared" si="152"/>
        <v>0</v>
      </c>
      <c r="P563" s="8">
        <f t="shared" si="153"/>
        <v>0</v>
      </c>
      <c r="Q563" s="8">
        <f t="shared" si="154"/>
        <v>0</v>
      </c>
      <c r="R563" s="8">
        <f t="shared" si="155"/>
        <v>0</v>
      </c>
      <c r="S563" s="8">
        <f t="shared" si="156"/>
        <v>0</v>
      </c>
      <c r="T563" s="8">
        <f t="shared" si="157"/>
        <v>0</v>
      </c>
      <c r="V563" s="8">
        <f t="shared" si="158"/>
        <v>4</v>
      </c>
      <c r="W563">
        <f t="shared" si="159"/>
        <v>1</v>
      </c>
      <c r="Y563" t="str">
        <f t="shared" si="160"/>
        <v>joy</v>
      </c>
    </row>
    <row r="564" spans="2:25" x14ac:dyDescent="0.25">
      <c r="B564" s="5">
        <v>562</v>
      </c>
      <c r="C564" t="s">
        <v>3</v>
      </c>
      <c r="D564" t="s">
        <v>3</v>
      </c>
      <c r="E564" t="s">
        <v>3</v>
      </c>
      <c r="F564" t="s">
        <v>3</v>
      </c>
      <c r="G564" t="s">
        <v>1</v>
      </c>
      <c r="J564" s="19"/>
      <c r="K564" s="5">
        <v>562</v>
      </c>
      <c r="L564" s="8">
        <f t="shared" si="149"/>
        <v>4</v>
      </c>
      <c r="M564" s="8">
        <f t="shared" si="150"/>
        <v>1</v>
      </c>
      <c r="N564" s="8">
        <f t="shared" si="151"/>
        <v>0</v>
      </c>
      <c r="O564" s="8">
        <f t="shared" si="152"/>
        <v>0</v>
      </c>
      <c r="P564" s="8">
        <f t="shared" si="153"/>
        <v>0</v>
      </c>
      <c r="Q564" s="8">
        <f t="shared" si="154"/>
        <v>0</v>
      </c>
      <c r="R564" s="8">
        <f t="shared" si="155"/>
        <v>0</v>
      </c>
      <c r="S564" s="8">
        <f t="shared" si="156"/>
        <v>0</v>
      </c>
      <c r="T564" s="8">
        <f t="shared" si="157"/>
        <v>0</v>
      </c>
      <c r="V564" s="8">
        <f t="shared" si="158"/>
        <v>4</v>
      </c>
      <c r="W564">
        <f t="shared" si="159"/>
        <v>1</v>
      </c>
      <c r="Y564" t="str">
        <f t="shared" si="160"/>
        <v>joy</v>
      </c>
    </row>
    <row r="565" spans="2:25" x14ac:dyDescent="0.25">
      <c r="B565" s="5">
        <v>563</v>
      </c>
      <c r="C565" t="s">
        <v>3</v>
      </c>
      <c r="D565" t="s">
        <v>3</v>
      </c>
      <c r="E565" t="s">
        <v>3</v>
      </c>
      <c r="F565" t="s">
        <v>3</v>
      </c>
      <c r="G565" t="s">
        <v>8</v>
      </c>
      <c r="J565" s="19"/>
      <c r="K565" s="5">
        <v>563</v>
      </c>
      <c r="L565" s="8">
        <f t="shared" si="149"/>
        <v>4</v>
      </c>
      <c r="M565" s="8">
        <f t="shared" si="150"/>
        <v>0</v>
      </c>
      <c r="N565" s="8">
        <f t="shared" si="151"/>
        <v>0</v>
      </c>
      <c r="O565" s="8">
        <f t="shared" si="152"/>
        <v>0</v>
      </c>
      <c r="P565" s="8">
        <f t="shared" si="153"/>
        <v>0</v>
      </c>
      <c r="Q565" s="8">
        <f t="shared" si="154"/>
        <v>0</v>
      </c>
      <c r="R565" s="8">
        <f t="shared" si="155"/>
        <v>0</v>
      </c>
      <c r="S565" s="8">
        <f t="shared" si="156"/>
        <v>1</v>
      </c>
      <c r="T565" s="8">
        <f t="shared" si="157"/>
        <v>0</v>
      </c>
      <c r="V565" s="8">
        <f t="shared" si="158"/>
        <v>4</v>
      </c>
      <c r="W565">
        <f t="shared" si="159"/>
        <v>1</v>
      </c>
      <c r="Y565" t="str">
        <f t="shared" si="160"/>
        <v>joy</v>
      </c>
    </row>
    <row r="566" spans="2:25" x14ac:dyDescent="0.25">
      <c r="B566" s="5">
        <v>564</v>
      </c>
      <c r="C566" t="s">
        <v>3</v>
      </c>
      <c r="D566" t="s">
        <v>5</v>
      </c>
      <c r="E566" t="s">
        <v>5</v>
      </c>
      <c r="F566" t="s">
        <v>5</v>
      </c>
      <c r="G566" t="s">
        <v>5</v>
      </c>
      <c r="J566" s="19"/>
      <c r="K566" s="5">
        <v>564</v>
      </c>
      <c r="L566" s="8">
        <f t="shared" si="149"/>
        <v>1</v>
      </c>
      <c r="M566" s="8">
        <f t="shared" si="150"/>
        <v>0</v>
      </c>
      <c r="N566" s="8">
        <f t="shared" si="151"/>
        <v>0</v>
      </c>
      <c r="O566" s="8">
        <f t="shared" si="152"/>
        <v>0</v>
      </c>
      <c r="P566" s="8">
        <f t="shared" si="153"/>
        <v>4</v>
      </c>
      <c r="Q566" s="8">
        <f t="shared" si="154"/>
        <v>0</v>
      </c>
      <c r="R566" s="8">
        <f t="shared" si="155"/>
        <v>0</v>
      </c>
      <c r="S566" s="8">
        <f t="shared" si="156"/>
        <v>0</v>
      </c>
      <c r="T566" s="8">
        <f t="shared" si="157"/>
        <v>0</v>
      </c>
      <c r="V566" s="8">
        <f t="shared" si="158"/>
        <v>4</v>
      </c>
      <c r="W566">
        <f t="shared" si="159"/>
        <v>1</v>
      </c>
      <c r="Y566" t="str">
        <f t="shared" si="160"/>
        <v>sadness</v>
      </c>
    </row>
    <row r="567" spans="2:25" x14ac:dyDescent="0.25">
      <c r="B567" s="5">
        <v>565</v>
      </c>
      <c r="C567" t="s">
        <v>3</v>
      </c>
      <c r="D567" t="s">
        <v>3</v>
      </c>
      <c r="E567" t="s">
        <v>5</v>
      </c>
      <c r="F567" t="s">
        <v>3</v>
      </c>
      <c r="G567" t="s">
        <v>1</v>
      </c>
      <c r="J567" s="19">
        <v>1</v>
      </c>
      <c r="K567" s="5">
        <v>565</v>
      </c>
      <c r="L567" s="8">
        <f t="shared" si="149"/>
        <v>3</v>
      </c>
      <c r="M567" s="8">
        <f t="shared" si="150"/>
        <v>1</v>
      </c>
      <c r="N567" s="8">
        <f t="shared" si="151"/>
        <v>0</v>
      </c>
      <c r="O567" s="8">
        <f t="shared" si="152"/>
        <v>0</v>
      </c>
      <c r="P567" s="8">
        <f t="shared" si="153"/>
        <v>1</v>
      </c>
      <c r="Q567" s="8">
        <f t="shared" si="154"/>
        <v>0</v>
      </c>
      <c r="R567" s="8">
        <f t="shared" si="155"/>
        <v>0</v>
      </c>
      <c r="S567" s="8">
        <f t="shared" si="156"/>
        <v>0</v>
      </c>
      <c r="T567" s="8">
        <f t="shared" si="157"/>
        <v>0</v>
      </c>
      <c r="V567" s="8">
        <f t="shared" si="158"/>
        <v>3</v>
      </c>
      <c r="W567">
        <f t="shared" si="159"/>
        <v>1</v>
      </c>
      <c r="Y567" t="str">
        <f t="shared" si="160"/>
        <v>joy</v>
      </c>
    </row>
    <row r="568" spans="2:25" x14ac:dyDescent="0.25">
      <c r="B568" s="5">
        <v>566</v>
      </c>
      <c r="C568" t="s">
        <v>3</v>
      </c>
      <c r="D568" t="s">
        <v>5</v>
      </c>
      <c r="E568" t="s">
        <v>5</v>
      </c>
      <c r="F568" t="s">
        <v>5</v>
      </c>
      <c r="G568" t="s">
        <v>1</v>
      </c>
      <c r="J568" s="19">
        <v>1</v>
      </c>
      <c r="K568" s="5">
        <v>566</v>
      </c>
      <c r="L568" s="8">
        <f t="shared" si="149"/>
        <v>1</v>
      </c>
      <c r="M568" s="8">
        <f t="shared" si="150"/>
        <v>1</v>
      </c>
      <c r="N568" s="8">
        <f t="shared" si="151"/>
        <v>0</v>
      </c>
      <c r="O568" s="8">
        <f t="shared" si="152"/>
        <v>0</v>
      </c>
      <c r="P568" s="8">
        <f t="shared" si="153"/>
        <v>3</v>
      </c>
      <c r="Q568" s="8">
        <f t="shared" si="154"/>
        <v>0</v>
      </c>
      <c r="R568" s="8">
        <f t="shared" si="155"/>
        <v>0</v>
      </c>
      <c r="S568" s="8">
        <f t="shared" si="156"/>
        <v>0</v>
      </c>
      <c r="T568" s="8">
        <f t="shared" si="157"/>
        <v>0</v>
      </c>
      <c r="V568" s="8">
        <f t="shared" si="158"/>
        <v>3</v>
      </c>
      <c r="W568">
        <f t="shared" si="159"/>
        <v>1</v>
      </c>
      <c r="Y568" t="str">
        <f t="shared" si="160"/>
        <v>sadness</v>
      </c>
    </row>
    <row r="569" spans="2:25" x14ac:dyDescent="0.25">
      <c r="B569" s="5">
        <v>567</v>
      </c>
      <c r="C569" t="s">
        <v>3</v>
      </c>
      <c r="D569" t="s">
        <v>3</v>
      </c>
      <c r="E569" t="s">
        <v>3</v>
      </c>
      <c r="F569" t="s">
        <v>3</v>
      </c>
      <c r="G569" t="s">
        <v>7</v>
      </c>
      <c r="J569" s="19"/>
      <c r="K569" s="5">
        <v>567</v>
      </c>
      <c r="L569" s="8">
        <f t="shared" ref="L569:L632" si="161">COUNTIFS(C569:G569, "joy")</f>
        <v>4</v>
      </c>
      <c r="M569" s="8">
        <f t="shared" ref="M569:M632" si="162">COUNTIFS(C569:G569, "trust")</f>
        <v>0</v>
      </c>
      <c r="N569" s="8">
        <f t="shared" ref="N569:N632" si="163">COUNTIFS(C569:G569, "fear")</f>
        <v>0</v>
      </c>
      <c r="O569" s="8">
        <f t="shared" ref="O569:O632" si="164">COUNTIFS(C569:G569, "surprise")</f>
        <v>1</v>
      </c>
      <c r="P569" s="8">
        <f t="shared" ref="P569:P632" si="165">COUNTIFS(C569:G569, "sadness")</f>
        <v>0</v>
      </c>
      <c r="Q569" s="8">
        <f t="shared" ref="Q569:Q632" si="166">COUNTIFS(C569:G569, "disgust")</f>
        <v>0</v>
      </c>
      <c r="R569" s="8">
        <f t="shared" ref="R569:R632" si="167">COUNTIFS(C569:G569, "anger")</f>
        <v>0</v>
      </c>
      <c r="S569" s="8">
        <f t="shared" ref="S569:S632" si="168">COUNTIFS(C569:G569, "anticipation")</f>
        <v>0</v>
      </c>
      <c r="T569" s="8">
        <f t="shared" ref="T569:T632" si="169">COUNTIFS(C569:G569, "AMBIGUOUS")</f>
        <v>0</v>
      </c>
      <c r="V569" s="8">
        <f t="shared" si="158"/>
        <v>4</v>
      </c>
      <c r="W569">
        <f t="shared" si="159"/>
        <v>1</v>
      </c>
      <c r="Y569" t="str">
        <f t="shared" si="160"/>
        <v>joy</v>
      </c>
    </row>
    <row r="570" spans="2:25" x14ac:dyDescent="0.25">
      <c r="B570" s="5">
        <v>568</v>
      </c>
      <c r="C570" t="s">
        <v>3</v>
      </c>
      <c r="D570" t="s">
        <v>3</v>
      </c>
      <c r="E570" t="s">
        <v>3</v>
      </c>
      <c r="F570" t="s">
        <v>3</v>
      </c>
      <c r="G570" t="s">
        <v>7</v>
      </c>
      <c r="J570" s="19"/>
      <c r="K570" s="5">
        <v>568</v>
      </c>
      <c r="L570" s="8">
        <f t="shared" si="161"/>
        <v>4</v>
      </c>
      <c r="M570" s="8">
        <f t="shared" si="162"/>
        <v>0</v>
      </c>
      <c r="N570" s="8">
        <f t="shared" si="163"/>
        <v>0</v>
      </c>
      <c r="O570" s="8">
        <f t="shared" si="164"/>
        <v>1</v>
      </c>
      <c r="P570" s="8">
        <f t="shared" si="165"/>
        <v>0</v>
      </c>
      <c r="Q570" s="8">
        <f t="shared" si="166"/>
        <v>0</v>
      </c>
      <c r="R570" s="8">
        <f t="shared" si="167"/>
        <v>0</v>
      </c>
      <c r="S570" s="8">
        <f t="shared" si="168"/>
        <v>0</v>
      </c>
      <c r="T570" s="8">
        <f t="shared" si="169"/>
        <v>0</v>
      </c>
      <c r="V570" s="8">
        <f t="shared" si="158"/>
        <v>4</v>
      </c>
      <c r="W570">
        <f t="shared" si="159"/>
        <v>1</v>
      </c>
      <c r="Y570" t="str">
        <f t="shared" si="160"/>
        <v>joy</v>
      </c>
    </row>
    <row r="571" spans="2:25" x14ac:dyDescent="0.25">
      <c r="B571" s="5">
        <v>569</v>
      </c>
      <c r="C571" t="s">
        <v>3</v>
      </c>
      <c r="D571" t="s">
        <v>3</v>
      </c>
      <c r="E571" t="s">
        <v>3</v>
      </c>
      <c r="F571" t="s">
        <v>3</v>
      </c>
      <c r="G571" t="s">
        <v>8</v>
      </c>
      <c r="J571" s="19"/>
      <c r="K571" s="5">
        <v>569</v>
      </c>
      <c r="L571" s="8">
        <f t="shared" si="161"/>
        <v>4</v>
      </c>
      <c r="M571" s="8">
        <f t="shared" si="162"/>
        <v>0</v>
      </c>
      <c r="N571" s="8">
        <f t="shared" si="163"/>
        <v>0</v>
      </c>
      <c r="O571" s="8">
        <f t="shared" si="164"/>
        <v>0</v>
      </c>
      <c r="P571" s="8">
        <f t="shared" si="165"/>
        <v>0</v>
      </c>
      <c r="Q571" s="8">
        <f t="shared" si="166"/>
        <v>0</v>
      </c>
      <c r="R571" s="8">
        <f t="shared" si="167"/>
        <v>0</v>
      </c>
      <c r="S571" s="8">
        <f t="shared" si="168"/>
        <v>1</v>
      </c>
      <c r="T571" s="8">
        <f t="shared" si="169"/>
        <v>0</v>
      </c>
      <c r="V571" s="8">
        <f t="shared" si="158"/>
        <v>4</v>
      </c>
      <c r="W571">
        <f t="shared" si="159"/>
        <v>1</v>
      </c>
      <c r="Y571" t="str">
        <f t="shared" si="160"/>
        <v>joy</v>
      </c>
    </row>
    <row r="572" spans="2:25" x14ac:dyDescent="0.25">
      <c r="B572" s="5">
        <v>570</v>
      </c>
      <c r="C572" t="s">
        <v>3</v>
      </c>
      <c r="D572" t="s">
        <v>3</v>
      </c>
      <c r="E572" t="s">
        <v>3</v>
      </c>
      <c r="F572" t="s">
        <v>3</v>
      </c>
      <c r="G572" t="s">
        <v>1</v>
      </c>
      <c r="J572" s="19"/>
      <c r="K572" s="5">
        <v>570</v>
      </c>
      <c r="L572" s="8">
        <f t="shared" si="161"/>
        <v>4</v>
      </c>
      <c r="M572" s="8">
        <f t="shared" si="162"/>
        <v>1</v>
      </c>
      <c r="N572" s="8">
        <f t="shared" si="163"/>
        <v>0</v>
      </c>
      <c r="O572" s="8">
        <f t="shared" si="164"/>
        <v>0</v>
      </c>
      <c r="P572" s="8">
        <f t="shared" si="165"/>
        <v>0</v>
      </c>
      <c r="Q572" s="8">
        <f t="shared" si="166"/>
        <v>0</v>
      </c>
      <c r="R572" s="8">
        <f t="shared" si="167"/>
        <v>0</v>
      </c>
      <c r="S572" s="8">
        <f t="shared" si="168"/>
        <v>0</v>
      </c>
      <c r="T572" s="8">
        <f t="shared" si="169"/>
        <v>0</v>
      </c>
      <c r="V572" s="8">
        <f t="shared" si="158"/>
        <v>4</v>
      </c>
      <c r="W572">
        <f t="shared" si="159"/>
        <v>1</v>
      </c>
      <c r="Y572" t="str">
        <f t="shared" si="160"/>
        <v>joy</v>
      </c>
    </row>
    <row r="573" spans="2:25" x14ac:dyDescent="0.25">
      <c r="B573" s="5">
        <v>571</v>
      </c>
      <c r="C573" t="s">
        <v>3</v>
      </c>
      <c r="D573" t="s">
        <v>3</v>
      </c>
      <c r="E573" t="s">
        <v>3</v>
      </c>
      <c r="F573" t="s">
        <v>3</v>
      </c>
      <c r="G573" t="s">
        <v>1</v>
      </c>
      <c r="J573" s="19"/>
      <c r="K573" s="5">
        <v>571</v>
      </c>
      <c r="L573" s="8">
        <f t="shared" si="161"/>
        <v>4</v>
      </c>
      <c r="M573" s="8">
        <f t="shared" si="162"/>
        <v>1</v>
      </c>
      <c r="N573" s="8">
        <f t="shared" si="163"/>
        <v>0</v>
      </c>
      <c r="O573" s="8">
        <f t="shared" si="164"/>
        <v>0</v>
      </c>
      <c r="P573" s="8">
        <f t="shared" si="165"/>
        <v>0</v>
      </c>
      <c r="Q573" s="8">
        <f t="shared" si="166"/>
        <v>0</v>
      </c>
      <c r="R573" s="8">
        <f t="shared" si="167"/>
        <v>0</v>
      </c>
      <c r="S573" s="8">
        <f t="shared" si="168"/>
        <v>0</v>
      </c>
      <c r="T573" s="8">
        <f t="shared" si="169"/>
        <v>0</v>
      </c>
      <c r="V573" s="8">
        <f t="shared" si="158"/>
        <v>4</v>
      </c>
      <c r="W573">
        <f t="shared" si="159"/>
        <v>1</v>
      </c>
      <c r="Y573" t="str">
        <f t="shared" si="160"/>
        <v>joy</v>
      </c>
    </row>
    <row r="574" spans="2:25" x14ac:dyDescent="0.25">
      <c r="B574" s="5">
        <v>572</v>
      </c>
      <c r="C574" t="s">
        <v>3</v>
      </c>
      <c r="D574" t="s">
        <v>3</v>
      </c>
      <c r="E574" t="s">
        <v>3</v>
      </c>
      <c r="F574" t="s">
        <v>3</v>
      </c>
      <c r="G574" t="s">
        <v>7</v>
      </c>
      <c r="J574" s="19"/>
      <c r="K574" s="5">
        <v>572</v>
      </c>
      <c r="L574" s="8">
        <f t="shared" si="161"/>
        <v>4</v>
      </c>
      <c r="M574" s="8">
        <f t="shared" si="162"/>
        <v>0</v>
      </c>
      <c r="N574" s="8">
        <f t="shared" si="163"/>
        <v>0</v>
      </c>
      <c r="O574" s="8">
        <f t="shared" si="164"/>
        <v>1</v>
      </c>
      <c r="P574" s="8">
        <f t="shared" si="165"/>
        <v>0</v>
      </c>
      <c r="Q574" s="8">
        <f t="shared" si="166"/>
        <v>0</v>
      </c>
      <c r="R574" s="8">
        <f t="shared" si="167"/>
        <v>0</v>
      </c>
      <c r="S574" s="8">
        <f t="shared" si="168"/>
        <v>0</v>
      </c>
      <c r="T574" s="8">
        <f t="shared" si="169"/>
        <v>0</v>
      </c>
      <c r="V574" s="8">
        <f t="shared" si="158"/>
        <v>4</v>
      </c>
      <c r="W574">
        <f t="shared" si="159"/>
        <v>1</v>
      </c>
      <c r="Y574" t="str">
        <f t="shared" si="160"/>
        <v>joy</v>
      </c>
    </row>
    <row r="575" spans="2:25" x14ac:dyDescent="0.25">
      <c r="B575" s="5">
        <v>573</v>
      </c>
      <c r="C575" t="s">
        <v>3</v>
      </c>
      <c r="D575" t="s">
        <v>3</v>
      </c>
      <c r="E575" t="s">
        <v>3</v>
      </c>
      <c r="F575" t="s">
        <v>3</v>
      </c>
      <c r="G575" t="s">
        <v>6</v>
      </c>
      <c r="J575" s="19"/>
      <c r="K575" s="5">
        <v>573</v>
      </c>
      <c r="L575" s="8">
        <f t="shared" si="161"/>
        <v>4</v>
      </c>
      <c r="M575" s="8">
        <f t="shared" si="162"/>
        <v>0</v>
      </c>
      <c r="N575" s="8">
        <f t="shared" si="163"/>
        <v>1</v>
      </c>
      <c r="O575" s="8">
        <f t="shared" si="164"/>
        <v>0</v>
      </c>
      <c r="P575" s="8">
        <f t="shared" si="165"/>
        <v>0</v>
      </c>
      <c r="Q575" s="8">
        <f t="shared" si="166"/>
        <v>0</v>
      </c>
      <c r="R575" s="8">
        <f t="shared" si="167"/>
        <v>0</v>
      </c>
      <c r="S575" s="8">
        <f t="shared" si="168"/>
        <v>0</v>
      </c>
      <c r="T575" s="8">
        <f t="shared" si="169"/>
        <v>0</v>
      </c>
      <c r="V575" s="8">
        <f t="shared" si="158"/>
        <v>4</v>
      </c>
      <c r="W575">
        <f t="shared" si="159"/>
        <v>1</v>
      </c>
      <c r="Y575" t="str">
        <f t="shared" si="160"/>
        <v>joy</v>
      </c>
    </row>
    <row r="576" spans="2:25" x14ac:dyDescent="0.25">
      <c r="B576" s="5">
        <v>574</v>
      </c>
      <c r="C576" t="s">
        <v>3</v>
      </c>
      <c r="D576" t="s">
        <v>3</v>
      </c>
      <c r="E576" t="s">
        <v>3</v>
      </c>
      <c r="F576" t="s">
        <v>3</v>
      </c>
      <c r="G576" t="s">
        <v>5</v>
      </c>
      <c r="J576" s="19"/>
      <c r="K576" s="5">
        <v>574</v>
      </c>
      <c r="L576" s="8">
        <f t="shared" si="161"/>
        <v>4</v>
      </c>
      <c r="M576" s="8">
        <f t="shared" si="162"/>
        <v>0</v>
      </c>
      <c r="N576" s="8">
        <f t="shared" si="163"/>
        <v>0</v>
      </c>
      <c r="O576" s="8">
        <f t="shared" si="164"/>
        <v>0</v>
      </c>
      <c r="P576" s="8">
        <f t="shared" si="165"/>
        <v>1</v>
      </c>
      <c r="Q576" s="8">
        <f t="shared" si="166"/>
        <v>0</v>
      </c>
      <c r="R576" s="8">
        <f t="shared" si="167"/>
        <v>0</v>
      </c>
      <c r="S576" s="8">
        <f t="shared" si="168"/>
        <v>0</v>
      </c>
      <c r="T576" s="8">
        <f t="shared" si="169"/>
        <v>0</v>
      </c>
      <c r="V576" s="8">
        <f t="shared" si="158"/>
        <v>4</v>
      </c>
      <c r="W576">
        <f t="shared" si="159"/>
        <v>1</v>
      </c>
      <c r="Y576" t="str">
        <f t="shared" si="160"/>
        <v>joy</v>
      </c>
    </row>
    <row r="577" spans="2:25" x14ac:dyDescent="0.25">
      <c r="B577" s="5">
        <v>575</v>
      </c>
      <c r="C577" t="s">
        <v>3</v>
      </c>
      <c r="D577" t="s">
        <v>3</v>
      </c>
      <c r="E577" t="s">
        <v>3</v>
      </c>
      <c r="F577" t="s">
        <v>3</v>
      </c>
      <c r="G577" t="s">
        <v>5</v>
      </c>
      <c r="J577" s="19"/>
      <c r="K577" s="5">
        <v>575</v>
      </c>
      <c r="L577" s="8">
        <f t="shared" si="161"/>
        <v>4</v>
      </c>
      <c r="M577" s="8">
        <f t="shared" si="162"/>
        <v>0</v>
      </c>
      <c r="N577" s="8">
        <f t="shared" si="163"/>
        <v>0</v>
      </c>
      <c r="O577" s="8">
        <f t="shared" si="164"/>
        <v>0</v>
      </c>
      <c r="P577" s="8">
        <f t="shared" si="165"/>
        <v>1</v>
      </c>
      <c r="Q577" s="8">
        <f t="shared" si="166"/>
        <v>0</v>
      </c>
      <c r="R577" s="8">
        <f t="shared" si="167"/>
        <v>0</v>
      </c>
      <c r="S577" s="8">
        <f t="shared" si="168"/>
        <v>0</v>
      </c>
      <c r="T577" s="8">
        <f t="shared" si="169"/>
        <v>0</v>
      </c>
      <c r="V577" s="8">
        <f t="shared" si="158"/>
        <v>4</v>
      </c>
      <c r="W577">
        <f t="shared" si="159"/>
        <v>1</v>
      </c>
      <c r="Y577" t="str">
        <f t="shared" si="160"/>
        <v>joy</v>
      </c>
    </row>
    <row r="578" spans="2:25" x14ac:dyDescent="0.25">
      <c r="B578" s="5">
        <v>576</v>
      </c>
      <c r="C578" t="s">
        <v>3</v>
      </c>
      <c r="D578" t="s">
        <v>3</v>
      </c>
      <c r="E578" t="s">
        <v>3</v>
      </c>
      <c r="F578" t="s">
        <v>3</v>
      </c>
      <c r="G578" t="s">
        <v>6</v>
      </c>
      <c r="J578" s="19"/>
      <c r="K578" s="5">
        <v>576</v>
      </c>
      <c r="L578" s="8">
        <f t="shared" si="161"/>
        <v>4</v>
      </c>
      <c r="M578" s="8">
        <f t="shared" si="162"/>
        <v>0</v>
      </c>
      <c r="N578" s="8">
        <f t="shared" si="163"/>
        <v>1</v>
      </c>
      <c r="O578" s="8">
        <f t="shared" si="164"/>
        <v>0</v>
      </c>
      <c r="P578" s="8">
        <f t="shared" si="165"/>
        <v>0</v>
      </c>
      <c r="Q578" s="8">
        <f t="shared" si="166"/>
        <v>0</v>
      </c>
      <c r="R578" s="8">
        <f t="shared" si="167"/>
        <v>0</v>
      </c>
      <c r="S578" s="8">
        <f t="shared" si="168"/>
        <v>0</v>
      </c>
      <c r="T578" s="8">
        <f t="shared" si="169"/>
        <v>0</v>
      </c>
      <c r="V578" s="8">
        <f t="shared" si="158"/>
        <v>4</v>
      </c>
      <c r="W578">
        <f t="shared" si="159"/>
        <v>1</v>
      </c>
      <c r="Y578" t="str">
        <f t="shared" si="160"/>
        <v>joy</v>
      </c>
    </row>
    <row r="579" spans="2:25" x14ac:dyDescent="0.25">
      <c r="B579" s="5">
        <v>577</v>
      </c>
      <c r="C579" t="s">
        <v>3</v>
      </c>
      <c r="D579" t="s">
        <v>3</v>
      </c>
      <c r="E579" t="s">
        <v>3</v>
      </c>
      <c r="F579" t="s">
        <v>3</v>
      </c>
      <c r="G579" t="s">
        <v>6</v>
      </c>
      <c r="J579" s="19"/>
      <c r="K579" s="5">
        <v>577</v>
      </c>
      <c r="L579" s="8">
        <f t="shared" si="161"/>
        <v>4</v>
      </c>
      <c r="M579" s="8">
        <f t="shared" si="162"/>
        <v>0</v>
      </c>
      <c r="N579" s="8">
        <f t="shared" si="163"/>
        <v>1</v>
      </c>
      <c r="O579" s="8">
        <f t="shared" si="164"/>
        <v>0</v>
      </c>
      <c r="P579" s="8">
        <f t="shared" si="165"/>
        <v>0</v>
      </c>
      <c r="Q579" s="8">
        <f t="shared" si="166"/>
        <v>0</v>
      </c>
      <c r="R579" s="8">
        <f t="shared" si="167"/>
        <v>0</v>
      </c>
      <c r="S579" s="8">
        <f t="shared" si="168"/>
        <v>0</v>
      </c>
      <c r="T579" s="8">
        <f t="shared" si="169"/>
        <v>0</v>
      </c>
      <c r="V579" s="8">
        <f t="shared" si="158"/>
        <v>4</v>
      </c>
      <c r="W579">
        <f t="shared" si="159"/>
        <v>1</v>
      </c>
      <c r="Y579" t="str">
        <f t="shared" si="160"/>
        <v>joy</v>
      </c>
    </row>
    <row r="580" spans="2:25" x14ac:dyDescent="0.25">
      <c r="B580" s="5">
        <v>578</v>
      </c>
      <c r="C580" t="s">
        <v>3</v>
      </c>
      <c r="D580" t="s">
        <v>3</v>
      </c>
      <c r="E580" t="s">
        <v>3</v>
      </c>
      <c r="F580" t="s">
        <v>3</v>
      </c>
      <c r="G580" t="s">
        <v>6</v>
      </c>
      <c r="J580" s="19"/>
      <c r="K580" s="5">
        <v>578</v>
      </c>
      <c r="L580" s="8">
        <f t="shared" si="161"/>
        <v>4</v>
      </c>
      <c r="M580" s="8">
        <f t="shared" si="162"/>
        <v>0</v>
      </c>
      <c r="N580" s="8">
        <f t="shared" si="163"/>
        <v>1</v>
      </c>
      <c r="O580" s="8">
        <f t="shared" si="164"/>
        <v>0</v>
      </c>
      <c r="P580" s="8">
        <f t="shared" si="165"/>
        <v>0</v>
      </c>
      <c r="Q580" s="8">
        <f t="shared" si="166"/>
        <v>0</v>
      </c>
      <c r="R580" s="8">
        <f t="shared" si="167"/>
        <v>0</v>
      </c>
      <c r="S580" s="8">
        <f t="shared" si="168"/>
        <v>0</v>
      </c>
      <c r="T580" s="8">
        <f t="shared" si="169"/>
        <v>0</v>
      </c>
      <c r="V580" s="8">
        <f t="shared" si="158"/>
        <v>4</v>
      </c>
      <c r="W580">
        <f t="shared" si="159"/>
        <v>1</v>
      </c>
      <c r="Y580" t="str">
        <f t="shared" si="160"/>
        <v>joy</v>
      </c>
    </row>
    <row r="581" spans="2:25" x14ac:dyDescent="0.25">
      <c r="B581" s="5">
        <v>579</v>
      </c>
      <c r="C581" t="s">
        <v>3</v>
      </c>
      <c r="D581" t="s">
        <v>3</v>
      </c>
      <c r="E581" t="s">
        <v>3</v>
      </c>
      <c r="F581" t="s">
        <v>3</v>
      </c>
      <c r="G581" t="s">
        <v>2</v>
      </c>
      <c r="J581" s="19"/>
      <c r="K581" s="5">
        <v>579</v>
      </c>
      <c r="L581" s="8">
        <f t="shared" si="161"/>
        <v>4</v>
      </c>
      <c r="M581" s="8">
        <f t="shared" si="162"/>
        <v>0</v>
      </c>
      <c r="N581" s="8">
        <f t="shared" si="163"/>
        <v>0</v>
      </c>
      <c r="O581" s="8">
        <f t="shared" si="164"/>
        <v>0</v>
      </c>
      <c r="P581" s="8">
        <f t="shared" si="165"/>
        <v>0</v>
      </c>
      <c r="Q581" s="8">
        <f t="shared" si="166"/>
        <v>0</v>
      </c>
      <c r="R581" s="8">
        <f t="shared" si="167"/>
        <v>0</v>
      </c>
      <c r="S581" s="8">
        <f t="shared" si="168"/>
        <v>0</v>
      </c>
      <c r="T581" s="8">
        <f t="shared" si="169"/>
        <v>1</v>
      </c>
      <c r="V581" s="8">
        <f t="shared" si="158"/>
        <v>4</v>
      </c>
      <c r="W581">
        <f t="shared" si="159"/>
        <v>1</v>
      </c>
      <c r="Y581" t="str">
        <f t="shared" si="160"/>
        <v>joy</v>
      </c>
    </row>
    <row r="582" spans="2:25" x14ac:dyDescent="0.25">
      <c r="B582" s="5">
        <v>580</v>
      </c>
      <c r="C582" t="s">
        <v>3</v>
      </c>
      <c r="D582" t="s">
        <v>3</v>
      </c>
      <c r="E582" t="s">
        <v>3</v>
      </c>
      <c r="F582" t="s">
        <v>3</v>
      </c>
      <c r="G582" t="s">
        <v>2</v>
      </c>
      <c r="J582" s="19"/>
      <c r="K582" s="5">
        <v>580</v>
      </c>
      <c r="L582" s="8">
        <f t="shared" si="161"/>
        <v>4</v>
      </c>
      <c r="M582" s="8">
        <f t="shared" si="162"/>
        <v>0</v>
      </c>
      <c r="N582" s="8">
        <f t="shared" si="163"/>
        <v>0</v>
      </c>
      <c r="O582" s="8">
        <f t="shared" si="164"/>
        <v>0</v>
      </c>
      <c r="P582" s="8">
        <f t="shared" si="165"/>
        <v>0</v>
      </c>
      <c r="Q582" s="8">
        <f t="shared" si="166"/>
        <v>0</v>
      </c>
      <c r="R582" s="8">
        <f t="shared" si="167"/>
        <v>0</v>
      </c>
      <c r="S582" s="8">
        <f t="shared" si="168"/>
        <v>0</v>
      </c>
      <c r="T582" s="8">
        <f t="shared" si="169"/>
        <v>1</v>
      </c>
      <c r="V582" s="8">
        <f t="shared" si="158"/>
        <v>4</v>
      </c>
      <c r="W582">
        <f t="shared" si="159"/>
        <v>1</v>
      </c>
      <c r="Y582" t="str">
        <f t="shared" si="160"/>
        <v>joy</v>
      </c>
    </row>
    <row r="583" spans="2:25" x14ac:dyDescent="0.25">
      <c r="B583" s="5">
        <v>581</v>
      </c>
      <c r="C583" t="s">
        <v>3</v>
      </c>
      <c r="D583" t="s">
        <v>3</v>
      </c>
      <c r="E583" t="s">
        <v>3</v>
      </c>
      <c r="F583" t="s">
        <v>3</v>
      </c>
      <c r="G583" t="s">
        <v>2</v>
      </c>
      <c r="J583" s="19"/>
      <c r="K583" s="5">
        <v>581</v>
      </c>
      <c r="L583" s="8">
        <f t="shared" si="161"/>
        <v>4</v>
      </c>
      <c r="M583" s="8">
        <f t="shared" si="162"/>
        <v>0</v>
      </c>
      <c r="N583" s="8">
        <f t="shared" si="163"/>
        <v>0</v>
      </c>
      <c r="O583" s="8">
        <f t="shared" si="164"/>
        <v>0</v>
      </c>
      <c r="P583" s="8">
        <f t="shared" si="165"/>
        <v>0</v>
      </c>
      <c r="Q583" s="8">
        <f t="shared" si="166"/>
        <v>0</v>
      </c>
      <c r="R583" s="8">
        <f t="shared" si="167"/>
        <v>0</v>
      </c>
      <c r="S583" s="8">
        <f t="shared" si="168"/>
        <v>0</v>
      </c>
      <c r="T583" s="8">
        <f t="shared" si="169"/>
        <v>1</v>
      </c>
      <c r="V583" s="8">
        <f t="shared" si="158"/>
        <v>4</v>
      </c>
      <c r="W583">
        <f t="shared" si="159"/>
        <v>1</v>
      </c>
      <c r="Y583" t="str">
        <f t="shared" si="160"/>
        <v>joy</v>
      </c>
    </row>
    <row r="584" spans="2:25" x14ac:dyDescent="0.25">
      <c r="B584" s="5">
        <v>582</v>
      </c>
      <c r="C584" t="s">
        <v>3</v>
      </c>
      <c r="D584" t="s">
        <v>3</v>
      </c>
      <c r="E584" t="s">
        <v>3</v>
      </c>
      <c r="F584" t="s">
        <v>3</v>
      </c>
      <c r="G584" t="s">
        <v>2</v>
      </c>
      <c r="J584" s="19"/>
      <c r="K584" s="5">
        <v>582</v>
      </c>
      <c r="L584" s="8">
        <f t="shared" si="161"/>
        <v>4</v>
      </c>
      <c r="M584" s="8">
        <f t="shared" si="162"/>
        <v>0</v>
      </c>
      <c r="N584" s="8">
        <f t="shared" si="163"/>
        <v>0</v>
      </c>
      <c r="O584" s="8">
        <f t="shared" si="164"/>
        <v>0</v>
      </c>
      <c r="P584" s="8">
        <f t="shared" si="165"/>
        <v>0</v>
      </c>
      <c r="Q584" s="8">
        <f t="shared" si="166"/>
        <v>0</v>
      </c>
      <c r="R584" s="8">
        <f t="shared" si="167"/>
        <v>0</v>
      </c>
      <c r="S584" s="8">
        <f t="shared" si="168"/>
        <v>0</v>
      </c>
      <c r="T584" s="8">
        <f t="shared" si="169"/>
        <v>1</v>
      </c>
      <c r="V584" s="8">
        <f t="shared" si="158"/>
        <v>4</v>
      </c>
      <c r="W584">
        <f t="shared" si="159"/>
        <v>1</v>
      </c>
      <c r="Y584" t="str">
        <f t="shared" si="160"/>
        <v>joy</v>
      </c>
    </row>
    <row r="585" spans="2:25" x14ac:dyDescent="0.25">
      <c r="B585" s="5">
        <v>583</v>
      </c>
      <c r="C585" t="s">
        <v>3</v>
      </c>
      <c r="D585" t="s">
        <v>3</v>
      </c>
      <c r="E585" t="s">
        <v>3</v>
      </c>
      <c r="F585" t="s">
        <v>3</v>
      </c>
      <c r="G585" t="s">
        <v>8</v>
      </c>
      <c r="J585" s="19"/>
      <c r="K585" s="5">
        <v>583</v>
      </c>
      <c r="L585" s="8">
        <f t="shared" si="161"/>
        <v>4</v>
      </c>
      <c r="M585" s="8">
        <f t="shared" si="162"/>
        <v>0</v>
      </c>
      <c r="N585" s="8">
        <f t="shared" si="163"/>
        <v>0</v>
      </c>
      <c r="O585" s="8">
        <f t="shared" si="164"/>
        <v>0</v>
      </c>
      <c r="P585" s="8">
        <f t="shared" si="165"/>
        <v>0</v>
      </c>
      <c r="Q585" s="8">
        <f t="shared" si="166"/>
        <v>0</v>
      </c>
      <c r="R585" s="8">
        <f t="shared" si="167"/>
        <v>0</v>
      </c>
      <c r="S585" s="8">
        <f t="shared" si="168"/>
        <v>1</v>
      </c>
      <c r="T585" s="8">
        <f t="shared" si="169"/>
        <v>0</v>
      </c>
      <c r="V585" s="8">
        <f t="shared" si="158"/>
        <v>4</v>
      </c>
      <c r="W585">
        <f t="shared" si="159"/>
        <v>1</v>
      </c>
      <c r="Y585" t="str">
        <f t="shared" si="160"/>
        <v>joy</v>
      </c>
    </row>
    <row r="586" spans="2:25" x14ac:dyDescent="0.25">
      <c r="B586" s="5">
        <v>584</v>
      </c>
      <c r="C586" t="s">
        <v>3</v>
      </c>
      <c r="D586" t="s">
        <v>3</v>
      </c>
      <c r="E586" t="s">
        <v>3</v>
      </c>
      <c r="F586" t="s">
        <v>3</v>
      </c>
      <c r="G586" t="s">
        <v>8</v>
      </c>
      <c r="J586" s="19"/>
      <c r="K586" s="5">
        <v>584</v>
      </c>
      <c r="L586" s="8">
        <f t="shared" si="161"/>
        <v>4</v>
      </c>
      <c r="M586" s="8">
        <f t="shared" si="162"/>
        <v>0</v>
      </c>
      <c r="N586" s="8">
        <f t="shared" si="163"/>
        <v>0</v>
      </c>
      <c r="O586" s="8">
        <f t="shared" si="164"/>
        <v>0</v>
      </c>
      <c r="P586" s="8">
        <f t="shared" si="165"/>
        <v>0</v>
      </c>
      <c r="Q586" s="8">
        <f t="shared" si="166"/>
        <v>0</v>
      </c>
      <c r="R586" s="8">
        <f t="shared" si="167"/>
        <v>0</v>
      </c>
      <c r="S586" s="8">
        <f t="shared" si="168"/>
        <v>1</v>
      </c>
      <c r="T586" s="8">
        <f t="shared" si="169"/>
        <v>0</v>
      </c>
      <c r="V586" s="8">
        <f t="shared" si="158"/>
        <v>4</v>
      </c>
      <c r="W586">
        <f t="shared" si="159"/>
        <v>1</v>
      </c>
      <c r="Y586" t="str">
        <f t="shared" si="160"/>
        <v>joy</v>
      </c>
    </row>
    <row r="587" spans="2:25" x14ac:dyDescent="0.25">
      <c r="B587" s="5">
        <v>585</v>
      </c>
      <c r="C587" t="s">
        <v>3</v>
      </c>
      <c r="D587" t="s">
        <v>3</v>
      </c>
      <c r="E587" t="s">
        <v>3</v>
      </c>
      <c r="F587" t="s">
        <v>3</v>
      </c>
      <c r="G587" t="s">
        <v>5</v>
      </c>
      <c r="J587" s="19"/>
      <c r="K587" s="5">
        <v>585</v>
      </c>
      <c r="L587" s="8">
        <f t="shared" si="161"/>
        <v>4</v>
      </c>
      <c r="M587" s="8">
        <f t="shared" si="162"/>
        <v>0</v>
      </c>
      <c r="N587" s="8">
        <f t="shared" si="163"/>
        <v>0</v>
      </c>
      <c r="O587" s="8">
        <f t="shared" si="164"/>
        <v>0</v>
      </c>
      <c r="P587" s="8">
        <f t="shared" si="165"/>
        <v>1</v>
      </c>
      <c r="Q587" s="8">
        <f t="shared" si="166"/>
        <v>0</v>
      </c>
      <c r="R587" s="8">
        <f t="shared" si="167"/>
        <v>0</v>
      </c>
      <c r="S587" s="8">
        <f t="shared" si="168"/>
        <v>0</v>
      </c>
      <c r="T587" s="8">
        <f t="shared" si="169"/>
        <v>0</v>
      </c>
      <c r="V587" s="8">
        <f t="shared" si="158"/>
        <v>4</v>
      </c>
      <c r="W587">
        <f t="shared" si="159"/>
        <v>1</v>
      </c>
      <c r="Y587" t="str">
        <f t="shared" si="160"/>
        <v>joy</v>
      </c>
    </row>
    <row r="588" spans="2:25" x14ac:dyDescent="0.25">
      <c r="B588" s="5">
        <v>586</v>
      </c>
      <c r="C588" t="s">
        <v>3</v>
      </c>
      <c r="D588" t="s">
        <v>3</v>
      </c>
      <c r="E588" t="s">
        <v>3</v>
      </c>
      <c r="F588" t="s">
        <v>3</v>
      </c>
      <c r="G588" t="s">
        <v>5</v>
      </c>
      <c r="J588" s="19"/>
      <c r="K588" s="5">
        <v>586</v>
      </c>
      <c r="L588" s="8">
        <f t="shared" si="161"/>
        <v>4</v>
      </c>
      <c r="M588" s="8">
        <f t="shared" si="162"/>
        <v>0</v>
      </c>
      <c r="N588" s="8">
        <f t="shared" si="163"/>
        <v>0</v>
      </c>
      <c r="O588" s="8">
        <f t="shared" si="164"/>
        <v>0</v>
      </c>
      <c r="P588" s="8">
        <f t="shared" si="165"/>
        <v>1</v>
      </c>
      <c r="Q588" s="8">
        <f t="shared" si="166"/>
        <v>0</v>
      </c>
      <c r="R588" s="8">
        <f t="shared" si="167"/>
        <v>0</v>
      </c>
      <c r="S588" s="8">
        <f t="shared" si="168"/>
        <v>0</v>
      </c>
      <c r="T588" s="8">
        <f t="shared" si="169"/>
        <v>0</v>
      </c>
      <c r="V588" s="8">
        <f t="shared" si="158"/>
        <v>4</v>
      </c>
      <c r="W588">
        <f t="shared" si="159"/>
        <v>1</v>
      </c>
      <c r="Y588" t="str">
        <f t="shared" si="160"/>
        <v>joy</v>
      </c>
    </row>
    <row r="589" spans="2:25" x14ac:dyDescent="0.25">
      <c r="B589" s="5">
        <v>587</v>
      </c>
      <c r="C589" t="s">
        <v>3</v>
      </c>
      <c r="D589" t="s">
        <v>3</v>
      </c>
      <c r="E589" t="s">
        <v>3</v>
      </c>
      <c r="F589" t="s">
        <v>3</v>
      </c>
      <c r="G589" t="s">
        <v>5</v>
      </c>
      <c r="J589" s="19"/>
      <c r="K589" s="5">
        <v>587</v>
      </c>
      <c r="L589" s="8">
        <f t="shared" si="161"/>
        <v>4</v>
      </c>
      <c r="M589" s="8">
        <f t="shared" si="162"/>
        <v>0</v>
      </c>
      <c r="N589" s="8">
        <f t="shared" si="163"/>
        <v>0</v>
      </c>
      <c r="O589" s="8">
        <f t="shared" si="164"/>
        <v>0</v>
      </c>
      <c r="P589" s="8">
        <f t="shared" si="165"/>
        <v>1</v>
      </c>
      <c r="Q589" s="8">
        <f t="shared" si="166"/>
        <v>0</v>
      </c>
      <c r="R589" s="8">
        <f t="shared" si="167"/>
        <v>0</v>
      </c>
      <c r="S589" s="8">
        <f t="shared" si="168"/>
        <v>0</v>
      </c>
      <c r="T589" s="8">
        <f t="shared" si="169"/>
        <v>0</v>
      </c>
      <c r="V589" s="8">
        <f t="shared" si="158"/>
        <v>4</v>
      </c>
      <c r="W589">
        <f t="shared" si="159"/>
        <v>1</v>
      </c>
      <c r="Y589" t="str">
        <f t="shared" si="160"/>
        <v>joy</v>
      </c>
    </row>
    <row r="590" spans="2:25" x14ac:dyDescent="0.25">
      <c r="B590" s="5">
        <v>588</v>
      </c>
      <c r="C590" t="s">
        <v>3</v>
      </c>
      <c r="D590" t="s">
        <v>3</v>
      </c>
      <c r="E590" t="s">
        <v>3</v>
      </c>
      <c r="F590" t="s">
        <v>3</v>
      </c>
      <c r="G590" t="s">
        <v>5</v>
      </c>
      <c r="J590" s="19"/>
      <c r="K590" s="5">
        <v>588</v>
      </c>
      <c r="L590" s="8">
        <f t="shared" si="161"/>
        <v>4</v>
      </c>
      <c r="M590" s="8">
        <f t="shared" si="162"/>
        <v>0</v>
      </c>
      <c r="N590" s="8">
        <f t="shared" si="163"/>
        <v>0</v>
      </c>
      <c r="O590" s="8">
        <f t="shared" si="164"/>
        <v>0</v>
      </c>
      <c r="P590" s="8">
        <f t="shared" si="165"/>
        <v>1</v>
      </c>
      <c r="Q590" s="8">
        <f t="shared" si="166"/>
        <v>0</v>
      </c>
      <c r="R590" s="8">
        <f t="shared" si="167"/>
        <v>0</v>
      </c>
      <c r="S590" s="8">
        <f t="shared" si="168"/>
        <v>0</v>
      </c>
      <c r="T590" s="8">
        <f t="shared" si="169"/>
        <v>0</v>
      </c>
      <c r="V590" s="8">
        <f t="shared" si="158"/>
        <v>4</v>
      </c>
      <c r="W590">
        <f t="shared" si="159"/>
        <v>1</v>
      </c>
      <c r="Y590" t="str">
        <f t="shared" si="160"/>
        <v>joy</v>
      </c>
    </row>
    <row r="591" spans="2:25" x14ac:dyDescent="0.25">
      <c r="B591" s="5">
        <v>589</v>
      </c>
      <c r="C591" t="s">
        <v>3</v>
      </c>
      <c r="D591" t="s">
        <v>3</v>
      </c>
      <c r="E591" t="s">
        <v>3</v>
      </c>
      <c r="F591" t="s">
        <v>3</v>
      </c>
      <c r="G591" t="s">
        <v>2</v>
      </c>
      <c r="J591" s="19"/>
      <c r="K591" s="5">
        <v>589</v>
      </c>
      <c r="L591" s="8">
        <f t="shared" si="161"/>
        <v>4</v>
      </c>
      <c r="M591" s="8">
        <f t="shared" si="162"/>
        <v>0</v>
      </c>
      <c r="N591" s="8">
        <f t="shared" si="163"/>
        <v>0</v>
      </c>
      <c r="O591" s="8">
        <f t="shared" si="164"/>
        <v>0</v>
      </c>
      <c r="P591" s="8">
        <f t="shared" si="165"/>
        <v>0</v>
      </c>
      <c r="Q591" s="8">
        <f t="shared" si="166"/>
        <v>0</v>
      </c>
      <c r="R591" s="8">
        <f t="shared" si="167"/>
        <v>0</v>
      </c>
      <c r="S591" s="8">
        <f t="shared" si="168"/>
        <v>0</v>
      </c>
      <c r="T591" s="8">
        <f t="shared" si="169"/>
        <v>1</v>
      </c>
      <c r="V591" s="8">
        <f t="shared" si="158"/>
        <v>4</v>
      </c>
      <c r="W591">
        <f t="shared" si="159"/>
        <v>1</v>
      </c>
      <c r="Y591" t="str">
        <f t="shared" si="160"/>
        <v>joy</v>
      </c>
    </row>
    <row r="592" spans="2:25" x14ac:dyDescent="0.25">
      <c r="B592" s="5">
        <v>590</v>
      </c>
      <c r="C592" t="s">
        <v>3</v>
      </c>
      <c r="D592" t="s">
        <v>3</v>
      </c>
      <c r="E592" t="s">
        <v>3</v>
      </c>
      <c r="F592" t="s">
        <v>3</v>
      </c>
      <c r="G592" t="s">
        <v>2</v>
      </c>
      <c r="J592" s="19"/>
      <c r="K592" s="5">
        <v>590</v>
      </c>
      <c r="L592" s="8">
        <f t="shared" si="161"/>
        <v>4</v>
      </c>
      <c r="M592" s="8">
        <f t="shared" si="162"/>
        <v>0</v>
      </c>
      <c r="N592" s="8">
        <f t="shared" si="163"/>
        <v>0</v>
      </c>
      <c r="O592" s="8">
        <f t="shared" si="164"/>
        <v>0</v>
      </c>
      <c r="P592" s="8">
        <f t="shared" si="165"/>
        <v>0</v>
      </c>
      <c r="Q592" s="8">
        <f t="shared" si="166"/>
        <v>0</v>
      </c>
      <c r="R592" s="8">
        <f t="shared" si="167"/>
        <v>0</v>
      </c>
      <c r="S592" s="8">
        <f t="shared" si="168"/>
        <v>0</v>
      </c>
      <c r="T592" s="8">
        <f t="shared" si="169"/>
        <v>1</v>
      </c>
      <c r="V592" s="8">
        <f t="shared" si="158"/>
        <v>4</v>
      </c>
      <c r="W592">
        <f t="shared" si="159"/>
        <v>1</v>
      </c>
      <c r="Y592" t="str">
        <f t="shared" si="160"/>
        <v>joy</v>
      </c>
    </row>
    <row r="593" spans="2:25" x14ac:dyDescent="0.25">
      <c r="B593" s="5">
        <v>591</v>
      </c>
      <c r="C593" t="s">
        <v>3</v>
      </c>
      <c r="D593" t="s">
        <v>3</v>
      </c>
      <c r="E593" t="s">
        <v>3</v>
      </c>
      <c r="F593" t="s">
        <v>3</v>
      </c>
      <c r="G593" t="s">
        <v>2</v>
      </c>
      <c r="J593" s="19"/>
      <c r="K593" s="5">
        <v>591</v>
      </c>
      <c r="L593" s="8">
        <f t="shared" si="161"/>
        <v>4</v>
      </c>
      <c r="M593" s="8">
        <f t="shared" si="162"/>
        <v>0</v>
      </c>
      <c r="N593" s="8">
        <f t="shared" si="163"/>
        <v>0</v>
      </c>
      <c r="O593" s="8">
        <f t="shared" si="164"/>
        <v>0</v>
      </c>
      <c r="P593" s="8">
        <f t="shared" si="165"/>
        <v>0</v>
      </c>
      <c r="Q593" s="8">
        <f t="shared" si="166"/>
        <v>0</v>
      </c>
      <c r="R593" s="8">
        <f t="shared" si="167"/>
        <v>0</v>
      </c>
      <c r="S593" s="8">
        <f t="shared" si="168"/>
        <v>0</v>
      </c>
      <c r="T593" s="8">
        <f t="shared" si="169"/>
        <v>1</v>
      </c>
      <c r="V593" s="8">
        <f t="shared" si="158"/>
        <v>4</v>
      </c>
      <c r="W593">
        <f t="shared" si="159"/>
        <v>1</v>
      </c>
      <c r="Y593" t="str">
        <f t="shared" si="160"/>
        <v>joy</v>
      </c>
    </row>
    <row r="594" spans="2:25" x14ac:dyDescent="0.25">
      <c r="B594" s="5">
        <v>592</v>
      </c>
      <c r="C594" t="s">
        <v>3</v>
      </c>
      <c r="D594" t="s">
        <v>3</v>
      </c>
      <c r="E594" t="s">
        <v>3</v>
      </c>
      <c r="F594" t="s">
        <v>3</v>
      </c>
      <c r="G594" t="s">
        <v>2</v>
      </c>
      <c r="J594" s="19"/>
      <c r="K594" s="5">
        <v>592</v>
      </c>
      <c r="L594" s="8">
        <f t="shared" si="161"/>
        <v>4</v>
      </c>
      <c r="M594" s="8">
        <f t="shared" si="162"/>
        <v>0</v>
      </c>
      <c r="N594" s="8">
        <f t="shared" si="163"/>
        <v>0</v>
      </c>
      <c r="O594" s="8">
        <f t="shared" si="164"/>
        <v>0</v>
      </c>
      <c r="P594" s="8">
        <f t="shared" si="165"/>
        <v>0</v>
      </c>
      <c r="Q594" s="8">
        <f t="shared" si="166"/>
        <v>0</v>
      </c>
      <c r="R594" s="8">
        <f t="shared" si="167"/>
        <v>0</v>
      </c>
      <c r="S594" s="8">
        <f t="shared" si="168"/>
        <v>0</v>
      </c>
      <c r="T594" s="8">
        <f t="shared" si="169"/>
        <v>1</v>
      </c>
      <c r="V594" s="8">
        <f t="shared" si="158"/>
        <v>4</v>
      </c>
      <c r="W594">
        <f t="shared" si="159"/>
        <v>1</v>
      </c>
      <c r="Y594" t="str">
        <f t="shared" si="160"/>
        <v>joy</v>
      </c>
    </row>
    <row r="595" spans="2:25" x14ac:dyDescent="0.25">
      <c r="B595" s="5">
        <v>593</v>
      </c>
      <c r="C595" t="s">
        <v>3</v>
      </c>
      <c r="D595" t="s">
        <v>3</v>
      </c>
      <c r="E595" t="s">
        <v>3</v>
      </c>
      <c r="F595" t="s">
        <v>3</v>
      </c>
      <c r="G595" t="s">
        <v>3</v>
      </c>
      <c r="J595" s="19"/>
      <c r="K595" s="5">
        <v>593</v>
      </c>
      <c r="L595" s="8">
        <f t="shared" si="161"/>
        <v>5</v>
      </c>
      <c r="M595" s="8">
        <f t="shared" si="162"/>
        <v>0</v>
      </c>
      <c r="N595" s="8">
        <f t="shared" si="163"/>
        <v>0</v>
      </c>
      <c r="O595" s="8">
        <f t="shared" si="164"/>
        <v>0</v>
      </c>
      <c r="P595" s="8">
        <f t="shared" si="165"/>
        <v>0</v>
      </c>
      <c r="Q595" s="8">
        <f t="shared" si="166"/>
        <v>0</v>
      </c>
      <c r="R595" s="8">
        <f t="shared" si="167"/>
        <v>0</v>
      </c>
      <c r="S595" s="8">
        <f t="shared" si="168"/>
        <v>0</v>
      </c>
      <c r="T595" s="8">
        <f t="shared" si="169"/>
        <v>0</v>
      </c>
      <c r="V595" s="8">
        <f t="shared" si="158"/>
        <v>5</v>
      </c>
      <c r="W595">
        <f t="shared" si="159"/>
        <v>1</v>
      </c>
      <c r="Y595" t="str">
        <f t="shared" si="160"/>
        <v>joy</v>
      </c>
    </row>
    <row r="596" spans="2:25" x14ac:dyDescent="0.25">
      <c r="B596" s="5">
        <v>594</v>
      </c>
      <c r="C596" t="s">
        <v>3</v>
      </c>
      <c r="D596" t="s">
        <v>3</v>
      </c>
      <c r="E596" t="s">
        <v>3</v>
      </c>
      <c r="F596" t="s">
        <v>3</v>
      </c>
      <c r="G596" t="s">
        <v>5</v>
      </c>
      <c r="J596" s="19"/>
      <c r="K596" s="5">
        <v>594</v>
      </c>
      <c r="L596" s="8">
        <f t="shared" si="161"/>
        <v>4</v>
      </c>
      <c r="M596" s="8">
        <f t="shared" si="162"/>
        <v>0</v>
      </c>
      <c r="N596" s="8">
        <f t="shared" si="163"/>
        <v>0</v>
      </c>
      <c r="O596" s="8">
        <f t="shared" si="164"/>
        <v>0</v>
      </c>
      <c r="P596" s="8">
        <f t="shared" si="165"/>
        <v>1</v>
      </c>
      <c r="Q596" s="8">
        <f t="shared" si="166"/>
        <v>0</v>
      </c>
      <c r="R596" s="8">
        <f t="shared" si="167"/>
        <v>0</v>
      </c>
      <c r="S596" s="8">
        <f t="shared" si="168"/>
        <v>0</v>
      </c>
      <c r="T596" s="8">
        <f t="shared" si="169"/>
        <v>0</v>
      </c>
      <c r="V596" s="8">
        <f t="shared" ref="V596:V637" si="170">MAX(L596:T596)</f>
        <v>4</v>
      </c>
      <c r="W596">
        <f t="shared" ref="W596:W637" si="171">COUNTIF(L596:T596, "=" &amp; V596)</f>
        <v>1</v>
      </c>
      <c r="Y596" t="str">
        <f t="shared" ref="Y596:Y637" si="172">INDEX($L$2:$T$2,MATCH(MAX(L596:T596),L596:T596,0))</f>
        <v>joy</v>
      </c>
    </row>
    <row r="597" spans="2:25" x14ac:dyDescent="0.25">
      <c r="B597" s="5">
        <v>595</v>
      </c>
      <c r="C597" t="s">
        <v>3</v>
      </c>
      <c r="D597" t="s">
        <v>3</v>
      </c>
      <c r="E597" t="s">
        <v>3</v>
      </c>
      <c r="F597" t="s">
        <v>3</v>
      </c>
      <c r="G597" t="s">
        <v>2</v>
      </c>
      <c r="J597" s="19"/>
      <c r="K597" s="5">
        <v>595</v>
      </c>
      <c r="L597" s="8">
        <f t="shared" si="161"/>
        <v>4</v>
      </c>
      <c r="M597" s="8">
        <f t="shared" si="162"/>
        <v>0</v>
      </c>
      <c r="N597" s="8">
        <f t="shared" si="163"/>
        <v>0</v>
      </c>
      <c r="O597" s="8">
        <f t="shared" si="164"/>
        <v>0</v>
      </c>
      <c r="P597" s="8">
        <f t="shared" si="165"/>
        <v>0</v>
      </c>
      <c r="Q597" s="8">
        <f t="shared" si="166"/>
        <v>0</v>
      </c>
      <c r="R597" s="8">
        <f t="shared" si="167"/>
        <v>0</v>
      </c>
      <c r="S597" s="8">
        <f t="shared" si="168"/>
        <v>0</v>
      </c>
      <c r="T597" s="8">
        <f t="shared" si="169"/>
        <v>1</v>
      </c>
      <c r="V597" s="8">
        <f t="shared" si="170"/>
        <v>4</v>
      </c>
      <c r="W597">
        <f t="shared" si="171"/>
        <v>1</v>
      </c>
      <c r="Y597" t="str">
        <f t="shared" si="172"/>
        <v>joy</v>
      </c>
    </row>
    <row r="598" spans="2:25" x14ac:dyDescent="0.25">
      <c r="B598" s="5">
        <v>596</v>
      </c>
      <c r="C598" t="s">
        <v>3</v>
      </c>
      <c r="D598" t="s">
        <v>3</v>
      </c>
      <c r="E598" t="s">
        <v>3</v>
      </c>
      <c r="F598" t="s">
        <v>3</v>
      </c>
      <c r="G598" t="s">
        <v>8</v>
      </c>
      <c r="J598" s="19"/>
      <c r="K598" s="5">
        <v>596</v>
      </c>
      <c r="L598" s="8">
        <f t="shared" si="161"/>
        <v>4</v>
      </c>
      <c r="M598" s="8">
        <f t="shared" si="162"/>
        <v>0</v>
      </c>
      <c r="N598" s="8">
        <f t="shared" si="163"/>
        <v>0</v>
      </c>
      <c r="O598" s="8">
        <f t="shared" si="164"/>
        <v>0</v>
      </c>
      <c r="P598" s="8">
        <f t="shared" si="165"/>
        <v>0</v>
      </c>
      <c r="Q598" s="8">
        <f t="shared" si="166"/>
        <v>0</v>
      </c>
      <c r="R598" s="8">
        <f t="shared" si="167"/>
        <v>0</v>
      </c>
      <c r="S598" s="8">
        <f t="shared" si="168"/>
        <v>1</v>
      </c>
      <c r="T598" s="8">
        <f t="shared" si="169"/>
        <v>0</v>
      </c>
      <c r="V598" s="8">
        <f t="shared" si="170"/>
        <v>4</v>
      </c>
      <c r="W598">
        <f t="shared" si="171"/>
        <v>1</v>
      </c>
      <c r="Y598" t="str">
        <f t="shared" si="172"/>
        <v>joy</v>
      </c>
    </row>
    <row r="599" spans="2:25" x14ac:dyDescent="0.25">
      <c r="B599" s="5">
        <v>597</v>
      </c>
      <c r="C599" t="s">
        <v>3</v>
      </c>
      <c r="D599" t="s">
        <v>3</v>
      </c>
      <c r="E599" t="s">
        <v>3</v>
      </c>
      <c r="F599" t="s">
        <v>3</v>
      </c>
      <c r="G599" t="s">
        <v>5</v>
      </c>
      <c r="J599" s="19"/>
      <c r="K599" s="5">
        <v>597</v>
      </c>
      <c r="L599" s="8">
        <f t="shared" si="161"/>
        <v>4</v>
      </c>
      <c r="M599" s="8">
        <f t="shared" si="162"/>
        <v>0</v>
      </c>
      <c r="N599" s="8">
        <f t="shared" si="163"/>
        <v>0</v>
      </c>
      <c r="O599" s="8">
        <f t="shared" si="164"/>
        <v>0</v>
      </c>
      <c r="P599" s="8">
        <f t="shared" si="165"/>
        <v>1</v>
      </c>
      <c r="Q599" s="8">
        <f t="shared" si="166"/>
        <v>0</v>
      </c>
      <c r="R599" s="8">
        <f t="shared" si="167"/>
        <v>0</v>
      </c>
      <c r="S599" s="8">
        <f t="shared" si="168"/>
        <v>0</v>
      </c>
      <c r="T599" s="8">
        <f t="shared" si="169"/>
        <v>0</v>
      </c>
      <c r="V599" s="8">
        <f t="shared" si="170"/>
        <v>4</v>
      </c>
      <c r="W599">
        <f t="shared" si="171"/>
        <v>1</v>
      </c>
      <c r="Y599" t="str">
        <f t="shared" si="172"/>
        <v>joy</v>
      </c>
    </row>
    <row r="600" spans="2:25" x14ac:dyDescent="0.25">
      <c r="B600" s="5">
        <v>598</v>
      </c>
      <c r="C600" t="s">
        <v>3</v>
      </c>
      <c r="D600" t="s">
        <v>3</v>
      </c>
      <c r="E600" t="s">
        <v>3</v>
      </c>
      <c r="F600" t="s">
        <v>3</v>
      </c>
      <c r="G600" t="s">
        <v>5</v>
      </c>
      <c r="J600" s="19"/>
      <c r="K600" s="5">
        <v>598</v>
      </c>
      <c r="L600" s="8">
        <f t="shared" si="161"/>
        <v>4</v>
      </c>
      <c r="M600" s="8">
        <f t="shared" si="162"/>
        <v>0</v>
      </c>
      <c r="N600" s="8">
        <f t="shared" si="163"/>
        <v>0</v>
      </c>
      <c r="O600" s="8">
        <f t="shared" si="164"/>
        <v>0</v>
      </c>
      <c r="P600" s="8">
        <f t="shared" si="165"/>
        <v>1</v>
      </c>
      <c r="Q600" s="8">
        <f t="shared" si="166"/>
        <v>0</v>
      </c>
      <c r="R600" s="8">
        <f t="shared" si="167"/>
        <v>0</v>
      </c>
      <c r="S600" s="8">
        <f t="shared" si="168"/>
        <v>0</v>
      </c>
      <c r="T600" s="8">
        <f t="shared" si="169"/>
        <v>0</v>
      </c>
      <c r="V600" s="8">
        <f t="shared" si="170"/>
        <v>4</v>
      </c>
      <c r="W600">
        <f t="shared" si="171"/>
        <v>1</v>
      </c>
      <c r="Y600" t="str">
        <f t="shared" si="172"/>
        <v>joy</v>
      </c>
    </row>
    <row r="601" spans="2:25" x14ac:dyDescent="0.25">
      <c r="B601" s="5">
        <v>599</v>
      </c>
      <c r="C601" t="s">
        <v>3</v>
      </c>
      <c r="D601" t="s">
        <v>3</v>
      </c>
      <c r="E601" t="s">
        <v>3</v>
      </c>
      <c r="F601" t="s">
        <v>3</v>
      </c>
      <c r="G601" t="s">
        <v>2</v>
      </c>
      <c r="J601" s="19"/>
      <c r="K601" s="5">
        <v>599</v>
      </c>
      <c r="L601" s="8">
        <f t="shared" si="161"/>
        <v>4</v>
      </c>
      <c r="M601" s="8">
        <f t="shared" si="162"/>
        <v>0</v>
      </c>
      <c r="N601" s="8">
        <f t="shared" si="163"/>
        <v>0</v>
      </c>
      <c r="O601" s="8">
        <f t="shared" si="164"/>
        <v>0</v>
      </c>
      <c r="P601" s="8">
        <f t="shared" si="165"/>
        <v>0</v>
      </c>
      <c r="Q601" s="8">
        <f t="shared" si="166"/>
        <v>0</v>
      </c>
      <c r="R601" s="8">
        <f t="shared" si="167"/>
        <v>0</v>
      </c>
      <c r="S601" s="8">
        <f t="shared" si="168"/>
        <v>0</v>
      </c>
      <c r="T601" s="8">
        <f t="shared" si="169"/>
        <v>1</v>
      </c>
      <c r="V601" s="8">
        <f t="shared" si="170"/>
        <v>4</v>
      </c>
      <c r="W601">
        <f t="shared" si="171"/>
        <v>1</v>
      </c>
      <c r="Y601" t="str">
        <f t="shared" si="172"/>
        <v>joy</v>
      </c>
    </row>
    <row r="602" spans="2:25" x14ac:dyDescent="0.25">
      <c r="B602" s="5">
        <v>600</v>
      </c>
      <c r="C602" t="s">
        <v>3</v>
      </c>
      <c r="D602" t="s">
        <v>5</v>
      </c>
      <c r="E602" t="s">
        <v>5</v>
      </c>
      <c r="F602" t="s">
        <v>5</v>
      </c>
      <c r="G602" t="s">
        <v>2</v>
      </c>
      <c r="J602" s="19">
        <v>1</v>
      </c>
      <c r="K602" s="5">
        <v>600</v>
      </c>
      <c r="L602" s="8">
        <f t="shared" si="161"/>
        <v>1</v>
      </c>
      <c r="M602" s="8">
        <f t="shared" si="162"/>
        <v>0</v>
      </c>
      <c r="N602" s="8">
        <f t="shared" si="163"/>
        <v>0</v>
      </c>
      <c r="O602" s="8">
        <f t="shared" si="164"/>
        <v>0</v>
      </c>
      <c r="P602" s="8">
        <f t="shared" si="165"/>
        <v>3</v>
      </c>
      <c r="Q602" s="8">
        <f t="shared" si="166"/>
        <v>0</v>
      </c>
      <c r="R602" s="8">
        <f t="shared" si="167"/>
        <v>0</v>
      </c>
      <c r="S602" s="8">
        <f t="shared" si="168"/>
        <v>0</v>
      </c>
      <c r="T602" s="8">
        <f t="shared" si="169"/>
        <v>1</v>
      </c>
      <c r="V602" s="8">
        <f t="shared" si="170"/>
        <v>3</v>
      </c>
      <c r="W602">
        <f t="shared" si="171"/>
        <v>1</v>
      </c>
      <c r="Y602" t="str">
        <f t="shared" si="172"/>
        <v>sadness</v>
      </c>
    </row>
    <row r="603" spans="2:25" x14ac:dyDescent="0.25">
      <c r="B603" s="5">
        <v>601</v>
      </c>
      <c r="C603" t="s">
        <v>3</v>
      </c>
      <c r="D603" t="s">
        <v>3</v>
      </c>
      <c r="E603" t="s">
        <v>3</v>
      </c>
      <c r="F603" t="s">
        <v>3</v>
      </c>
      <c r="G603" t="s">
        <v>2</v>
      </c>
      <c r="J603" s="19"/>
      <c r="K603" s="5">
        <v>601</v>
      </c>
      <c r="L603" s="8">
        <f t="shared" si="161"/>
        <v>4</v>
      </c>
      <c r="M603" s="8">
        <f t="shared" si="162"/>
        <v>0</v>
      </c>
      <c r="N603" s="8">
        <f t="shared" si="163"/>
        <v>0</v>
      </c>
      <c r="O603" s="8">
        <f t="shared" si="164"/>
        <v>0</v>
      </c>
      <c r="P603" s="8">
        <f t="shared" si="165"/>
        <v>0</v>
      </c>
      <c r="Q603" s="8">
        <f t="shared" si="166"/>
        <v>0</v>
      </c>
      <c r="R603" s="8">
        <f t="shared" si="167"/>
        <v>0</v>
      </c>
      <c r="S603" s="8">
        <f t="shared" si="168"/>
        <v>0</v>
      </c>
      <c r="T603" s="8">
        <f t="shared" si="169"/>
        <v>1</v>
      </c>
      <c r="V603" s="8">
        <f t="shared" si="170"/>
        <v>4</v>
      </c>
      <c r="W603">
        <f t="shared" si="171"/>
        <v>1</v>
      </c>
      <c r="Y603" t="str">
        <f t="shared" si="172"/>
        <v>joy</v>
      </c>
    </row>
    <row r="604" spans="2:25" x14ac:dyDescent="0.25">
      <c r="B604" s="5">
        <v>602</v>
      </c>
      <c r="C604" t="s">
        <v>3</v>
      </c>
      <c r="D604" t="s">
        <v>3</v>
      </c>
      <c r="E604" t="s">
        <v>3</v>
      </c>
      <c r="F604" t="s">
        <v>3</v>
      </c>
      <c r="G604" t="s">
        <v>8</v>
      </c>
      <c r="J604" s="19"/>
      <c r="K604" s="5">
        <v>602</v>
      </c>
      <c r="L604" s="8">
        <f t="shared" si="161"/>
        <v>4</v>
      </c>
      <c r="M604" s="8">
        <f t="shared" si="162"/>
        <v>0</v>
      </c>
      <c r="N604" s="8">
        <f t="shared" si="163"/>
        <v>0</v>
      </c>
      <c r="O604" s="8">
        <f t="shared" si="164"/>
        <v>0</v>
      </c>
      <c r="P604" s="8">
        <f t="shared" si="165"/>
        <v>0</v>
      </c>
      <c r="Q604" s="8">
        <f t="shared" si="166"/>
        <v>0</v>
      </c>
      <c r="R604" s="8">
        <f t="shared" si="167"/>
        <v>0</v>
      </c>
      <c r="S604" s="8">
        <f t="shared" si="168"/>
        <v>1</v>
      </c>
      <c r="T604" s="8">
        <f t="shared" si="169"/>
        <v>0</v>
      </c>
      <c r="V604" s="8">
        <f t="shared" si="170"/>
        <v>4</v>
      </c>
      <c r="W604">
        <f t="shared" si="171"/>
        <v>1</v>
      </c>
      <c r="Y604" t="str">
        <f t="shared" si="172"/>
        <v>joy</v>
      </c>
    </row>
    <row r="605" spans="2:25" x14ac:dyDescent="0.25">
      <c r="B605" s="5">
        <v>603</v>
      </c>
      <c r="C605" t="s">
        <v>3</v>
      </c>
      <c r="D605" t="s">
        <v>3</v>
      </c>
      <c r="E605" t="s">
        <v>3</v>
      </c>
      <c r="F605" t="s">
        <v>3</v>
      </c>
      <c r="G605" t="s">
        <v>8</v>
      </c>
      <c r="J605" s="19"/>
      <c r="K605" s="5">
        <v>603</v>
      </c>
      <c r="L605" s="8">
        <f t="shared" si="161"/>
        <v>4</v>
      </c>
      <c r="M605" s="8">
        <f t="shared" si="162"/>
        <v>0</v>
      </c>
      <c r="N605" s="8">
        <f t="shared" si="163"/>
        <v>0</v>
      </c>
      <c r="O605" s="8">
        <f t="shared" si="164"/>
        <v>0</v>
      </c>
      <c r="P605" s="8">
        <f t="shared" si="165"/>
        <v>0</v>
      </c>
      <c r="Q605" s="8">
        <f t="shared" si="166"/>
        <v>0</v>
      </c>
      <c r="R605" s="8">
        <f t="shared" si="167"/>
        <v>0</v>
      </c>
      <c r="S605" s="8">
        <f t="shared" si="168"/>
        <v>1</v>
      </c>
      <c r="T605" s="8">
        <f t="shared" si="169"/>
        <v>0</v>
      </c>
      <c r="V605" s="8">
        <f t="shared" si="170"/>
        <v>4</v>
      </c>
      <c r="W605">
        <f t="shared" si="171"/>
        <v>1</v>
      </c>
      <c r="Y605" t="str">
        <f t="shared" si="172"/>
        <v>joy</v>
      </c>
    </row>
    <row r="606" spans="2:25" x14ac:dyDescent="0.25">
      <c r="B606" s="5">
        <v>604</v>
      </c>
      <c r="C606" t="s">
        <v>3</v>
      </c>
      <c r="D606" t="s">
        <v>3</v>
      </c>
      <c r="E606" t="s">
        <v>3</v>
      </c>
      <c r="F606" t="s">
        <v>3</v>
      </c>
      <c r="G606" t="s">
        <v>8</v>
      </c>
      <c r="J606" s="19"/>
      <c r="K606" s="5">
        <v>604</v>
      </c>
      <c r="L606" s="8">
        <f t="shared" si="161"/>
        <v>4</v>
      </c>
      <c r="M606" s="8">
        <f t="shared" si="162"/>
        <v>0</v>
      </c>
      <c r="N606" s="8">
        <f t="shared" si="163"/>
        <v>0</v>
      </c>
      <c r="O606" s="8">
        <f t="shared" si="164"/>
        <v>0</v>
      </c>
      <c r="P606" s="8">
        <f t="shared" si="165"/>
        <v>0</v>
      </c>
      <c r="Q606" s="8">
        <f t="shared" si="166"/>
        <v>0</v>
      </c>
      <c r="R606" s="8">
        <f t="shared" si="167"/>
        <v>0</v>
      </c>
      <c r="S606" s="8">
        <f t="shared" si="168"/>
        <v>1</v>
      </c>
      <c r="T606" s="8">
        <f t="shared" si="169"/>
        <v>0</v>
      </c>
      <c r="V606" s="8">
        <f t="shared" si="170"/>
        <v>4</v>
      </c>
      <c r="W606">
        <f t="shared" si="171"/>
        <v>1</v>
      </c>
      <c r="Y606" t="str">
        <f t="shared" si="172"/>
        <v>joy</v>
      </c>
    </row>
    <row r="607" spans="2:25" x14ac:dyDescent="0.25">
      <c r="B607" s="5">
        <v>605</v>
      </c>
      <c r="C607" t="s">
        <v>3</v>
      </c>
      <c r="D607" t="s">
        <v>3</v>
      </c>
      <c r="E607" t="s">
        <v>3</v>
      </c>
      <c r="F607" t="s">
        <v>3</v>
      </c>
      <c r="G607" t="s">
        <v>7</v>
      </c>
      <c r="J607" s="19"/>
      <c r="K607" s="5">
        <v>605</v>
      </c>
      <c r="L607" s="8">
        <f t="shared" si="161"/>
        <v>4</v>
      </c>
      <c r="M607" s="8">
        <f t="shared" si="162"/>
        <v>0</v>
      </c>
      <c r="N607" s="8">
        <f t="shared" si="163"/>
        <v>0</v>
      </c>
      <c r="O607" s="8">
        <f t="shared" si="164"/>
        <v>1</v>
      </c>
      <c r="P607" s="8">
        <f t="shared" si="165"/>
        <v>0</v>
      </c>
      <c r="Q607" s="8">
        <f t="shared" si="166"/>
        <v>0</v>
      </c>
      <c r="R607" s="8">
        <f t="shared" si="167"/>
        <v>0</v>
      </c>
      <c r="S607" s="8">
        <f t="shared" si="168"/>
        <v>0</v>
      </c>
      <c r="T607" s="8">
        <f t="shared" si="169"/>
        <v>0</v>
      </c>
      <c r="V607" s="8">
        <f t="shared" si="170"/>
        <v>4</v>
      </c>
      <c r="W607">
        <f t="shared" si="171"/>
        <v>1</v>
      </c>
      <c r="Y607" t="str">
        <f t="shared" si="172"/>
        <v>joy</v>
      </c>
    </row>
    <row r="608" spans="2:25" x14ac:dyDescent="0.25">
      <c r="B608" s="5">
        <v>606</v>
      </c>
      <c r="C608" t="s">
        <v>3</v>
      </c>
      <c r="D608" t="s">
        <v>3</v>
      </c>
      <c r="E608" t="s">
        <v>3</v>
      </c>
      <c r="F608" t="s">
        <v>3</v>
      </c>
      <c r="G608" t="s">
        <v>8</v>
      </c>
      <c r="J608" s="19"/>
      <c r="K608" s="5">
        <v>606</v>
      </c>
      <c r="L608" s="8">
        <f t="shared" si="161"/>
        <v>4</v>
      </c>
      <c r="M608" s="8">
        <f t="shared" si="162"/>
        <v>0</v>
      </c>
      <c r="N608" s="8">
        <f t="shared" si="163"/>
        <v>0</v>
      </c>
      <c r="O608" s="8">
        <f t="shared" si="164"/>
        <v>0</v>
      </c>
      <c r="P608" s="8">
        <f t="shared" si="165"/>
        <v>0</v>
      </c>
      <c r="Q608" s="8">
        <f t="shared" si="166"/>
        <v>0</v>
      </c>
      <c r="R608" s="8">
        <f t="shared" si="167"/>
        <v>0</v>
      </c>
      <c r="S608" s="8">
        <f t="shared" si="168"/>
        <v>1</v>
      </c>
      <c r="T608" s="8">
        <f t="shared" si="169"/>
        <v>0</v>
      </c>
      <c r="V608" s="8">
        <f t="shared" si="170"/>
        <v>4</v>
      </c>
      <c r="W608">
        <f t="shared" si="171"/>
        <v>1</v>
      </c>
      <c r="Y608" t="str">
        <f t="shared" si="172"/>
        <v>joy</v>
      </c>
    </row>
    <row r="609" spans="2:25" x14ac:dyDescent="0.25">
      <c r="B609" s="5">
        <v>607</v>
      </c>
      <c r="C609" t="s">
        <v>3</v>
      </c>
      <c r="D609" t="s">
        <v>3</v>
      </c>
      <c r="E609" t="s">
        <v>3</v>
      </c>
      <c r="F609" t="s">
        <v>3</v>
      </c>
      <c r="G609" t="s">
        <v>7</v>
      </c>
      <c r="J609" s="19"/>
      <c r="K609" s="5">
        <v>607</v>
      </c>
      <c r="L609" s="8">
        <f t="shared" si="161"/>
        <v>4</v>
      </c>
      <c r="M609" s="8">
        <f t="shared" si="162"/>
        <v>0</v>
      </c>
      <c r="N609" s="8">
        <f t="shared" si="163"/>
        <v>0</v>
      </c>
      <c r="O609" s="8">
        <f t="shared" si="164"/>
        <v>1</v>
      </c>
      <c r="P609" s="8">
        <f t="shared" si="165"/>
        <v>0</v>
      </c>
      <c r="Q609" s="8">
        <f t="shared" si="166"/>
        <v>0</v>
      </c>
      <c r="R609" s="8">
        <f t="shared" si="167"/>
        <v>0</v>
      </c>
      <c r="S609" s="8">
        <f t="shared" si="168"/>
        <v>0</v>
      </c>
      <c r="T609" s="8">
        <f t="shared" si="169"/>
        <v>0</v>
      </c>
      <c r="V609" s="8">
        <f t="shared" si="170"/>
        <v>4</v>
      </c>
      <c r="W609">
        <f t="shared" si="171"/>
        <v>1</v>
      </c>
      <c r="Y609" t="str">
        <f t="shared" si="172"/>
        <v>joy</v>
      </c>
    </row>
    <row r="610" spans="2:25" x14ac:dyDescent="0.25">
      <c r="B610" s="5">
        <v>608</v>
      </c>
      <c r="C610" t="s">
        <v>3</v>
      </c>
      <c r="D610" t="s">
        <v>3</v>
      </c>
      <c r="E610" t="s">
        <v>3</v>
      </c>
      <c r="F610" t="s">
        <v>3</v>
      </c>
      <c r="G610" t="s">
        <v>7</v>
      </c>
      <c r="J610" s="19"/>
      <c r="K610" s="5">
        <v>608</v>
      </c>
      <c r="L610" s="8">
        <f t="shared" si="161"/>
        <v>4</v>
      </c>
      <c r="M610" s="8">
        <f t="shared" si="162"/>
        <v>0</v>
      </c>
      <c r="N610" s="8">
        <f t="shared" si="163"/>
        <v>0</v>
      </c>
      <c r="O610" s="8">
        <f t="shared" si="164"/>
        <v>1</v>
      </c>
      <c r="P610" s="8">
        <f t="shared" si="165"/>
        <v>0</v>
      </c>
      <c r="Q610" s="8">
        <f t="shared" si="166"/>
        <v>0</v>
      </c>
      <c r="R610" s="8">
        <f t="shared" si="167"/>
        <v>0</v>
      </c>
      <c r="S610" s="8">
        <f t="shared" si="168"/>
        <v>0</v>
      </c>
      <c r="T610" s="8">
        <f t="shared" si="169"/>
        <v>0</v>
      </c>
      <c r="V610" s="8">
        <f t="shared" si="170"/>
        <v>4</v>
      </c>
      <c r="W610">
        <f t="shared" si="171"/>
        <v>1</v>
      </c>
      <c r="Y610" t="str">
        <f t="shared" si="172"/>
        <v>joy</v>
      </c>
    </row>
    <row r="611" spans="2:25" x14ac:dyDescent="0.25">
      <c r="B611" s="5">
        <v>609</v>
      </c>
      <c r="C611" t="s">
        <v>3</v>
      </c>
      <c r="D611" t="s">
        <v>3</v>
      </c>
      <c r="E611" t="s">
        <v>3</v>
      </c>
      <c r="F611" t="s">
        <v>3</v>
      </c>
      <c r="G611" t="s">
        <v>3</v>
      </c>
      <c r="J611" s="19"/>
      <c r="K611" s="5">
        <v>609</v>
      </c>
      <c r="L611" s="8">
        <f t="shared" si="161"/>
        <v>5</v>
      </c>
      <c r="M611" s="8">
        <f t="shared" si="162"/>
        <v>0</v>
      </c>
      <c r="N611" s="8">
        <f t="shared" si="163"/>
        <v>0</v>
      </c>
      <c r="O611" s="8">
        <f t="shared" si="164"/>
        <v>0</v>
      </c>
      <c r="P611" s="8">
        <f t="shared" si="165"/>
        <v>0</v>
      </c>
      <c r="Q611" s="8">
        <f t="shared" si="166"/>
        <v>0</v>
      </c>
      <c r="R611" s="8">
        <f t="shared" si="167"/>
        <v>0</v>
      </c>
      <c r="S611" s="8">
        <f t="shared" si="168"/>
        <v>0</v>
      </c>
      <c r="T611" s="8">
        <f t="shared" si="169"/>
        <v>0</v>
      </c>
      <c r="V611" s="8">
        <f t="shared" si="170"/>
        <v>5</v>
      </c>
      <c r="W611">
        <f t="shared" si="171"/>
        <v>1</v>
      </c>
      <c r="Y611" t="str">
        <f t="shared" si="172"/>
        <v>joy</v>
      </c>
    </row>
    <row r="612" spans="2:25" x14ac:dyDescent="0.25">
      <c r="B612" s="5">
        <v>610</v>
      </c>
      <c r="C612" t="s">
        <v>3</v>
      </c>
      <c r="D612" t="s">
        <v>3</v>
      </c>
      <c r="E612" t="s">
        <v>3</v>
      </c>
      <c r="F612" t="s">
        <v>3</v>
      </c>
      <c r="G612" t="s">
        <v>8</v>
      </c>
      <c r="J612" s="19"/>
      <c r="K612" s="5">
        <v>610</v>
      </c>
      <c r="L612" s="8">
        <f t="shared" si="161"/>
        <v>4</v>
      </c>
      <c r="M612" s="8">
        <f t="shared" si="162"/>
        <v>0</v>
      </c>
      <c r="N612" s="8">
        <f t="shared" si="163"/>
        <v>0</v>
      </c>
      <c r="O612" s="8">
        <f t="shared" si="164"/>
        <v>0</v>
      </c>
      <c r="P612" s="8">
        <f t="shared" si="165"/>
        <v>0</v>
      </c>
      <c r="Q612" s="8">
        <f t="shared" si="166"/>
        <v>0</v>
      </c>
      <c r="R612" s="8">
        <f t="shared" si="167"/>
        <v>0</v>
      </c>
      <c r="S612" s="8">
        <f t="shared" si="168"/>
        <v>1</v>
      </c>
      <c r="T612" s="8">
        <f t="shared" si="169"/>
        <v>0</v>
      </c>
      <c r="V612" s="8">
        <f t="shared" si="170"/>
        <v>4</v>
      </c>
      <c r="W612">
        <f t="shared" si="171"/>
        <v>1</v>
      </c>
      <c r="Y612" t="str">
        <f t="shared" si="172"/>
        <v>joy</v>
      </c>
    </row>
    <row r="613" spans="2:25" x14ac:dyDescent="0.25">
      <c r="B613" s="5">
        <v>611</v>
      </c>
      <c r="C613" t="s">
        <v>3</v>
      </c>
      <c r="D613" t="s">
        <v>3</v>
      </c>
      <c r="E613" t="s">
        <v>3</v>
      </c>
      <c r="F613" t="s">
        <v>3</v>
      </c>
      <c r="G613" t="s">
        <v>8</v>
      </c>
      <c r="J613" s="19"/>
      <c r="K613" s="5">
        <v>611</v>
      </c>
      <c r="L613" s="8">
        <f t="shared" si="161"/>
        <v>4</v>
      </c>
      <c r="M613" s="8">
        <f t="shared" si="162"/>
        <v>0</v>
      </c>
      <c r="N613" s="8">
        <f t="shared" si="163"/>
        <v>0</v>
      </c>
      <c r="O613" s="8">
        <f t="shared" si="164"/>
        <v>0</v>
      </c>
      <c r="P613" s="8">
        <f t="shared" si="165"/>
        <v>0</v>
      </c>
      <c r="Q613" s="8">
        <f t="shared" si="166"/>
        <v>0</v>
      </c>
      <c r="R613" s="8">
        <f t="shared" si="167"/>
        <v>0</v>
      </c>
      <c r="S613" s="8">
        <f t="shared" si="168"/>
        <v>1</v>
      </c>
      <c r="T613" s="8">
        <f t="shared" si="169"/>
        <v>0</v>
      </c>
      <c r="V613" s="8">
        <f t="shared" si="170"/>
        <v>4</v>
      </c>
      <c r="W613">
        <f t="shared" si="171"/>
        <v>1</v>
      </c>
      <c r="Y613" t="str">
        <f t="shared" si="172"/>
        <v>joy</v>
      </c>
    </row>
    <row r="614" spans="2:25" x14ac:dyDescent="0.25">
      <c r="B614" s="5">
        <v>612</v>
      </c>
      <c r="C614" t="s">
        <v>3</v>
      </c>
      <c r="D614" t="s">
        <v>3</v>
      </c>
      <c r="E614" t="s">
        <v>3</v>
      </c>
      <c r="F614" t="s">
        <v>3</v>
      </c>
      <c r="G614" t="s">
        <v>5</v>
      </c>
      <c r="J614" s="19"/>
      <c r="K614" s="5">
        <v>612</v>
      </c>
      <c r="L614" s="8">
        <f t="shared" si="161"/>
        <v>4</v>
      </c>
      <c r="M614" s="8">
        <f t="shared" si="162"/>
        <v>0</v>
      </c>
      <c r="N614" s="8">
        <f t="shared" si="163"/>
        <v>0</v>
      </c>
      <c r="O614" s="8">
        <f t="shared" si="164"/>
        <v>0</v>
      </c>
      <c r="P614" s="8">
        <f t="shared" si="165"/>
        <v>1</v>
      </c>
      <c r="Q614" s="8">
        <f t="shared" si="166"/>
        <v>0</v>
      </c>
      <c r="R614" s="8">
        <f t="shared" si="167"/>
        <v>0</v>
      </c>
      <c r="S614" s="8">
        <f t="shared" si="168"/>
        <v>0</v>
      </c>
      <c r="T614" s="8">
        <f t="shared" si="169"/>
        <v>0</v>
      </c>
      <c r="V614" s="8">
        <f t="shared" si="170"/>
        <v>4</v>
      </c>
      <c r="W614">
        <f t="shared" si="171"/>
        <v>1</v>
      </c>
      <c r="Y614" t="str">
        <f t="shared" si="172"/>
        <v>joy</v>
      </c>
    </row>
    <row r="615" spans="2:25" x14ac:dyDescent="0.25">
      <c r="B615" s="5">
        <v>613</v>
      </c>
      <c r="C615" t="s">
        <v>3</v>
      </c>
      <c r="D615" t="s">
        <v>3</v>
      </c>
      <c r="E615" t="s">
        <v>3</v>
      </c>
      <c r="F615" t="s">
        <v>3</v>
      </c>
      <c r="G615" t="s">
        <v>8</v>
      </c>
      <c r="J615" s="19"/>
      <c r="K615" s="5">
        <v>613</v>
      </c>
      <c r="L615" s="8">
        <f t="shared" si="161"/>
        <v>4</v>
      </c>
      <c r="M615" s="8">
        <f t="shared" si="162"/>
        <v>0</v>
      </c>
      <c r="N615" s="8">
        <f t="shared" si="163"/>
        <v>0</v>
      </c>
      <c r="O615" s="8">
        <f t="shared" si="164"/>
        <v>0</v>
      </c>
      <c r="P615" s="8">
        <f t="shared" si="165"/>
        <v>0</v>
      </c>
      <c r="Q615" s="8">
        <f t="shared" si="166"/>
        <v>0</v>
      </c>
      <c r="R615" s="8">
        <f t="shared" si="167"/>
        <v>0</v>
      </c>
      <c r="S615" s="8">
        <f t="shared" si="168"/>
        <v>1</v>
      </c>
      <c r="T615" s="8">
        <f t="shared" si="169"/>
        <v>0</v>
      </c>
      <c r="V615" s="8">
        <f t="shared" si="170"/>
        <v>4</v>
      </c>
      <c r="W615">
        <f t="shared" si="171"/>
        <v>1</v>
      </c>
      <c r="Y615" t="str">
        <f t="shared" si="172"/>
        <v>joy</v>
      </c>
    </row>
    <row r="616" spans="2:25" x14ac:dyDescent="0.25">
      <c r="B616" s="5">
        <v>614</v>
      </c>
      <c r="C616" t="s">
        <v>3</v>
      </c>
      <c r="D616" t="s">
        <v>3</v>
      </c>
      <c r="E616" t="s">
        <v>3</v>
      </c>
      <c r="F616" t="s">
        <v>3</v>
      </c>
      <c r="G616" t="s">
        <v>8</v>
      </c>
      <c r="J616" s="19"/>
      <c r="K616" s="5">
        <v>614</v>
      </c>
      <c r="L616" s="8">
        <f t="shared" si="161"/>
        <v>4</v>
      </c>
      <c r="M616" s="8">
        <f t="shared" si="162"/>
        <v>0</v>
      </c>
      <c r="N616" s="8">
        <f t="shared" si="163"/>
        <v>0</v>
      </c>
      <c r="O616" s="8">
        <f t="shared" si="164"/>
        <v>0</v>
      </c>
      <c r="P616" s="8">
        <f t="shared" si="165"/>
        <v>0</v>
      </c>
      <c r="Q616" s="8">
        <f t="shared" si="166"/>
        <v>0</v>
      </c>
      <c r="R616" s="8">
        <f t="shared" si="167"/>
        <v>0</v>
      </c>
      <c r="S616" s="8">
        <f t="shared" si="168"/>
        <v>1</v>
      </c>
      <c r="T616" s="8">
        <f t="shared" si="169"/>
        <v>0</v>
      </c>
      <c r="V616" s="8">
        <f t="shared" si="170"/>
        <v>4</v>
      </c>
      <c r="W616">
        <f t="shared" si="171"/>
        <v>1</v>
      </c>
      <c r="Y616" t="str">
        <f t="shared" si="172"/>
        <v>joy</v>
      </c>
    </row>
    <row r="617" spans="2:25" x14ac:dyDescent="0.25">
      <c r="B617" s="5">
        <v>615</v>
      </c>
      <c r="C617" t="s">
        <v>3</v>
      </c>
      <c r="D617" t="s">
        <v>3</v>
      </c>
      <c r="E617" t="s">
        <v>3</v>
      </c>
      <c r="F617" t="s">
        <v>3</v>
      </c>
      <c r="G617" t="s">
        <v>8</v>
      </c>
      <c r="J617" s="19"/>
      <c r="K617" s="5">
        <v>615</v>
      </c>
      <c r="L617" s="8">
        <f t="shared" si="161"/>
        <v>4</v>
      </c>
      <c r="M617" s="8">
        <f t="shared" si="162"/>
        <v>0</v>
      </c>
      <c r="N617" s="8">
        <f t="shared" si="163"/>
        <v>0</v>
      </c>
      <c r="O617" s="8">
        <f t="shared" si="164"/>
        <v>0</v>
      </c>
      <c r="P617" s="8">
        <f t="shared" si="165"/>
        <v>0</v>
      </c>
      <c r="Q617" s="8">
        <f t="shared" si="166"/>
        <v>0</v>
      </c>
      <c r="R617" s="8">
        <f t="shared" si="167"/>
        <v>0</v>
      </c>
      <c r="S617" s="8">
        <f t="shared" si="168"/>
        <v>1</v>
      </c>
      <c r="T617" s="8">
        <f t="shared" si="169"/>
        <v>0</v>
      </c>
      <c r="V617" s="8">
        <f t="shared" si="170"/>
        <v>4</v>
      </c>
      <c r="W617">
        <f t="shared" si="171"/>
        <v>1</v>
      </c>
      <c r="Y617" t="str">
        <f t="shared" si="172"/>
        <v>joy</v>
      </c>
    </row>
    <row r="618" spans="2:25" x14ac:dyDescent="0.25">
      <c r="B618" s="5">
        <v>616</v>
      </c>
      <c r="C618" t="s">
        <v>3</v>
      </c>
      <c r="D618" t="s">
        <v>3</v>
      </c>
      <c r="E618" t="s">
        <v>3</v>
      </c>
      <c r="F618" t="s">
        <v>3</v>
      </c>
      <c r="G618" t="s">
        <v>8</v>
      </c>
      <c r="J618" s="19"/>
      <c r="K618" s="5">
        <v>616</v>
      </c>
      <c r="L618" s="8">
        <f t="shared" si="161"/>
        <v>4</v>
      </c>
      <c r="M618" s="8">
        <f t="shared" si="162"/>
        <v>0</v>
      </c>
      <c r="N618" s="8">
        <f t="shared" si="163"/>
        <v>0</v>
      </c>
      <c r="O618" s="8">
        <f t="shared" si="164"/>
        <v>0</v>
      </c>
      <c r="P618" s="8">
        <f t="shared" si="165"/>
        <v>0</v>
      </c>
      <c r="Q618" s="8">
        <f t="shared" si="166"/>
        <v>0</v>
      </c>
      <c r="R618" s="8">
        <f t="shared" si="167"/>
        <v>0</v>
      </c>
      <c r="S618" s="8">
        <f t="shared" si="168"/>
        <v>1</v>
      </c>
      <c r="T618" s="8">
        <f t="shared" si="169"/>
        <v>0</v>
      </c>
      <c r="V618" s="8">
        <f t="shared" si="170"/>
        <v>4</v>
      </c>
      <c r="W618">
        <f t="shared" si="171"/>
        <v>1</v>
      </c>
      <c r="Y618" t="str">
        <f t="shared" si="172"/>
        <v>joy</v>
      </c>
    </row>
    <row r="619" spans="2:25" x14ac:dyDescent="0.25">
      <c r="B619" s="5">
        <v>617</v>
      </c>
      <c r="C619" t="s">
        <v>3</v>
      </c>
      <c r="D619" t="s">
        <v>3</v>
      </c>
      <c r="E619" t="s">
        <v>3</v>
      </c>
      <c r="F619" t="s">
        <v>3</v>
      </c>
      <c r="G619" t="s">
        <v>5</v>
      </c>
      <c r="J619" s="19"/>
      <c r="K619" s="5">
        <v>617</v>
      </c>
      <c r="L619" s="8">
        <f t="shared" si="161"/>
        <v>4</v>
      </c>
      <c r="M619" s="8">
        <f t="shared" si="162"/>
        <v>0</v>
      </c>
      <c r="N619" s="8">
        <f t="shared" si="163"/>
        <v>0</v>
      </c>
      <c r="O619" s="8">
        <f t="shared" si="164"/>
        <v>0</v>
      </c>
      <c r="P619" s="8">
        <f t="shared" si="165"/>
        <v>1</v>
      </c>
      <c r="Q619" s="8">
        <f t="shared" si="166"/>
        <v>0</v>
      </c>
      <c r="R619" s="8">
        <f t="shared" si="167"/>
        <v>0</v>
      </c>
      <c r="S619" s="8">
        <f t="shared" si="168"/>
        <v>0</v>
      </c>
      <c r="T619" s="8">
        <f t="shared" si="169"/>
        <v>0</v>
      </c>
      <c r="V619" s="8">
        <f t="shared" si="170"/>
        <v>4</v>
      </c>
      <c r="W619">
        <f t="shared" si="171"/>
        <v>1</v>
      </c>
      <c r="Y619" t="str">
        <f t="shared" si="172"/>
        <v>joy</v>
      </c>
    </row>
    <row r="620" spans="2:25" x14ac:dyDescent="0.25">
      <c r="B620" s="5">
        <v>618</v>
      </c>
      <c r="C620" t="s">
        <v>3</v>
      </c>
      <c r="D620" t="s">
        <v>3</v>
      </c>
      <c r="E620" t="s">
        <v>3</v>
      </c>
      <c r="F620" t="s">
        <v>3</v>
      </c>
      <c r="G620" t="s">
        <v>8</v>
      </c>
      <c r="J620" s="19"/>
      <c r="K620" s="5">
        <v>618</v>
      </c>
      <c r="L620" s="8">
        <f t="shared" si="161"/>
        <v>4</v>
      </c>
      <c r="M620" s="8">
        <f t="shared" si="162"/>
        <v>0</v>
      </c>
      <c r="N620" s="8">
        <f t="shared" si="163"/>
        <v>0</v>
      </c>
      <c r="O620" s="8">
        <f t="shared" si="164"/>
        <v>0</v>
      </c>
      <c r="P620" s="8">
        <f t="shared" si="165"/>
        <v>0</v>
      </c>
      <c r="Q620" s="8">
        <f t="shared" si="166"/>
        <v>0</v>
      </c>
      <c r="R620" s="8">
        <f t="shared" si="167"/>
        <v>0</v>
      </c>
      <c r="S620" s="8">
        <f t="shared" si="168"/>
        <v>1</v>
      </c>
      <c r="T620" s="8">
        <f t="shared" si="169"/>
        <v>0</v>
      </c>
      <c r="V620" s="8">
        <f t="shared" si="170"/>
        <v>4</v>
      </c>
      <c r="W620">
        <f t="shared" si="171"/>
        <v>1</v>
      </c>
      <c r="Y620" t="str">
        <f t="shared" si="172"/>
        <v>joy</v>
      </c>
    </row>
    <row r="621" spans="2:25" x14ac:dyDescent="0.25">
      <c r="B621" s="5">
        <v>619</v>
      </c>
      <c r="C621" t="s">
        <v>3</v>
      </c>
      <c r="D621" t="s">
        <v>3</v>
      </c>
      <c r="E621" t="s">
        <v>3</v>
      </c>
      <c r="F621" t="s">
        <v>3</v>
      </c>
      <c r="G621" t="s">
        <v>8</v>
      </c>
      <c r="J621" s="19"/>
      <c r="K621" s="5">
        <v>619</v>
      </c>
      <c r="L621" s="8">
        <f t="shared" si="161"/>
        <v>4</v>
      </c>
      <c r="M621" s="8">
        <f t="shared" si="162"/>
        <v>0</v>
      </c>
      <c r="N621" s="8">
        <f t="shared" si="163"/>
        <v>0</v>
      </c>
      <c r="O621" s="8">
        <f t="shared" si="164"/>
        <v>0</v>
      </c>
      <c r="P621" s="8">
        <f t="shared" si="165"/>
        <v>0</v>
      </c>
      <c r="Q621" s="8">
        <f t="shared" si="166"/>
        <v>0</v>
      </c>
      <c r="R621" s="8">
        <f t="shared" si="167"/>
        <v>0</v>
      </c>
      <c r="S621" s="8">
        <f t="shared" si="168"/>
        <v>1</v>
      </c>
      <c r="T621" s="8">
        <f t="shared" si="169"/>
        <v>0</v>
      </c>
      <c r="V621" s="8">
        <f t="shared" si="170"/>
        <v>4</v>
      </c>
      <c r="W621">
        <f t="shared" si="171"/>
        <v>1</v>
      </c>
      <c r="Y621" t="str">
        <f t="shared" si="172"/>
        <v>joy</v>
      </c>
    </row>
    <row r="622" spans="2:25" x14ac:dyDescent="0.25">
      <c r="B622" s="5">
        <v>620</v>
      </c>
      <c r="C622" t="s">
        <v>3</v>
      </c>
      <c r="D622" t="s">
        <v>3</v>
      </c>
      <c r="E622" t="s">
        <v>3</v>
      </c>
      <c r="F622" t="s">
        <v>3</v>
      </c>
      <c r="G622" t="s">
        <v>8</v>
      </c>
      <c r="J622" s="19"/>
      <c r="K622" s="5">
        <v>620</v>
      </c>
      <c r="L622" s="8">
        <f t="shared" si="161"/>
        <v>4</v>
      </c>
      <c r="M622" s="8">
        <f t="shared" si="162"/>
        <v>0</v>
      </c>
      <c r="N622" s="8">
        <f t="shared" si="163"/>
        <v>0</v>
      </c>
      <c r="O622" s="8">
        <f t="shared" si="164"/>
        <v>0</v>
      </c>
      <c r="P622" s="8">
        <f t="shared" si="165"/>
        <v>0</v>
      </c>
      <c r="Q622" s="8">
        <f t="shared" si="166"/>
        <v>0</v>
      </c>
      <c r="R622" s="8">
        <f t="shared" si="167"/>
        <v>0</v>
      </c>
      <c r="S622" s="8">
        <f t="shared" si="168"/>
        <v>1</v>
      </c>
      <c r="T622" s="8">
        <f t="shared" si="169"/>
        <v>0</v>
      </c>
      <c r="V622" s="8">
        <f t="shared" si="170"/>
        <v>4</v>
      </c>
      <c r="W622">
        <f t="shared" si="171"/>
        <v>1</v>
      </c>
      <c r="Y622" t="str">
        <f t="shared" si="172"/>
        <v>joy</v>
      </c>
    </row>
    <row r="623" spans="2:25" x14ac:dyDescent="0.25">
      <c r="B623" s="5">
        <v>621</v>
      </c>
      <c r="C623" t="s">
        <v>3</v>
      </c>
      <c r="D623" t="s">
        <v>3</v>
      </c>
      <c r="E623" t="s">
        <v>3</v>
      </c>
      <c r="F623" t="s">
        <v>3</v>
      </c>
      <c r="G623" t="s">
        <v>2</v>
      </c>
      <c r="J623" s="19"/>
      <c r="K623" s="5">
        <v>621</v>
      </c>
      <c r="L623" s="8">
        <f t="shared" si="161"/>
        <v>4</v>
      </c>
      <c r="M623" s="8">
        <f t="shared" si="162"/>
        <v>0</v>
      </c>
      <c r="N623" s="8">
        <f t="shared" si="163"/>
        <v>0</v>
      </c>
      <c r="O623" s="8">
        <f t="shared" si="164"/>
        <v>0</v>
      </c>
      <c r="P623" s="8">
        <f t="shared" si="165"/>
        <v>0</v>
      </c>
      <c r="Q623" s="8">
        <f t="shared" si="166"/>
        <v>0</v>
      </c>
      <c r="R623" s="8">
        <f t="shared" si="167"/>
        <v>0</v>
      </c>
      <c r="S623" s="8">
        <f t="shared" si="168"/>
        <v>0</v>
      </c>
      <c r="T623" s="8">
        <f t="shared" si="169"/>
        <v>1</v>
      </c>
      <c r="V623" s="8">
        <f t="shared" si="170"/>
        <v>4</v>
      </c>
      <c r="W623">
        <f t="shared" si="171"/>
        <v>1</v>
      </c>
      <c r="Y623" t="str">
        <f t="shared" si="172"/>
        <v>joy</v>
      </c>
    </row>
    <row r="624" spans="2:25" x14ac:dyDescent="0.25">
      <c r="B624" s="5">
        <v>622</v>
      </c>
      <c r="C624" t="s">
        <v>3</v>
      </c>
      <c r="D624" t="s">
        <v>3</v>
      </c>
      <c r="E624" t="s">
        <v>3</v>
      </c>
      <c r="F624" t="s">
        <v>3</v>
      </c>
      <c r="G624" t="s">
        <v>5</v>
      </c>
      <c r="J624" s="19"/>
      <c r="K624" s="5">
        <v>622</v>
      </c>
      <c r="L624" s="8">
        <f t="shared" si="161"/>
        <v>4</v>
      </c>
      <c r="M624" s="8">
        <f t="shared" si="162"/>
        <v>0</v>
      </c>
      <c r="N624" s="8">
        <f t="shared" si="163"/>
        <v>0</v>
      </c>
      <c r="O624" s="8">
        <f t="shared" si="164"/>
        <v>0</v>
      </c>
      <c r="P624" s="8">
        <f t="shared" si="165"/>
        <v>1</v>
      </c>
      <c r="Q624" s="8">
        <f t="shared" si="166"/>
        <v>0</v>
      </c>
      <c r="R624" s="8">
        <f t="shared" si="167"/>
        <v>0</v>
      </c>
      <c r="S624" s="8">
        <f t="shared" si="168"/>
        <v>0</v>
      </c>
      <c r="T624" s="8">
        <f t="shared" si="169"/>
        <v>0</v>
      </c>
      <c r="V624" s="8">
        <f t="shared" si="170"/>
        <v>4</v>
      </c>
      <c r="W624">
        <f t="shared" si="171"/>
        <v>1</v>
      </c>
      <c r="Y624" t="str">
        <f t="shared" si="172"/>
        <v>joy</v>
      </c>
    </row>
    <row r="625" spans="2:25" x14ac:dyDescent="0.25">
      <c r="B625" s="5">
        <v>623</v>
      </c>
      <c r="C625" t="s">
        <v>3</v>
      </c>
      <c r="D625" t="s">
        <v>3</v>
      </c>
      <c r="E625" t="s">
        <v>3</v>
      </c>
      <c r="F625" t="s">
        <v>3</v>
      </c>
      <c r="G625" t="s">
        <v>5</v>
      </c>
      <c r="J625" s="19"/>
      <c r="K625" s="5">
        <v>623</v>
      </c>
      <c r="L625" s="8">
        <f t="shared" si="161"/>
        <v>4</v>
      </c>
      <c r="M625" s="8">
        <f t="shared" si="162"/>
        <v>0</v>
      </c>
      <c r="N625" s="8">
        <f t="shared" si="163"/>
        <v>0</v>
      </c>
      <c r="O625" s="8">
        <f t="shared" si="164"/>
        <v>0</v>
      </c>
      <c r="P625" s="8">
        <f t="shared" si="165"/>
        <v>1</v>
      </c>
      <c r="Q625" s="8">
        <f t="shared" si="166"/>
        <v>0</v>
      </c>
      <c r="R625" s="8">
        <f t="shared" si="167"/>
        <v>0</v>
      </c>
      <c r="S625" s="8">
        <f t="shared" si="168"/>
        <v>0</v>
      </c>
      <c r="T625" s="8">
        <f t="shared" si="169"/>
        <v>0</v>
      </c>
      <c r="V625" s="8">
        <f t="shared" si="170"/>
        <v>4</v>
      </c>
      <c r="W625">
        <f t="shared" si="171"/>
        <v>1</v>
      </c>
      <c r="Y625" t="str">
        <f t="shared" si="172"/>
        <v>joy</v>
      </c>
    </row>
    <row r="626" spans="2:25" x14ac:dyDescent="0.25">
      <c r="B626" s="5">
        <v>624</v>
      </c>
      <c r="C626" t="s">
        <v>3</v>
      </c>
      <c r="D626" t="s">
        <v>3</v>
      </c>
      <c r="E626" t="s">
        <v>3</v>
      </c>
      <c r="F626" t="s">
        <v>3</v>
      </c>
      <c r="G626" t="s">
        <v>8</v>
      </c>
      <c r="J626" s="19"/>
      <c r="K626" s="5">
        <v>624</v>
      </c>
      <c r="L626" s="8">
        <f t="shared" si="161"/>
        <v>4</v>
      </c>
      <c r="M626" s="8">
        <f t="shared" si="162"/>
        <v>0</v>
      </c>
      <c r="N626" s="8">
        <f t="shared" si="163"/>
        <v>0</v>
      </c>
      <c r="O626" s="8">
        <f t="shared" si="164"/>
        <v>0</v>
      </c>
      <c r="P626" s="8">
        <f t="shared" si="165"/>
        <v>0</v>
      </c>
      <c r="Q626" s="8">
        <f t="shared" si="166"/>
        <v>0</v>
      </c>
      <c r="R626" s="8">
        <f t="shared" si="167"/>
        <v>0</v>
      </c>
      <c r="S626" s="8">
        <f t="shared" si="168"/>
        <v>1</v>
      </c>
      <c r="T626" s="8">
        <f t="shared" si="169"/>
        <v>0</v>
      </c>
      <c r="V626" s="8">
        <f t="shared" si="170"/>
        <v>4</v>
      </c>
      <c r="W626">
        <f t="shared" si="171"/>
        <v>1</v>
      </c>
      <c r="Y626" t="str">
        <f t="shared" si="172"/>
        <v>joy</v>
      </c>
    </row>
    <row r="627" spans="2:25" x14ac:dyDescent="0.25">
      <c r="B627" s="5">
        <v>625</v>
      </c>
      <c r="C627" t="s">
        <v>3</v>
      </c>
      <c r="D627" t="s">
        <v>3</v>
      </c>
      <c r="E627" t="s">
        <v>3</v>
      </c>
      <c r="F627" t="s">
        <v>3</v>
      </c>
      <c r="G627" t="s">
        <v>8</v>
      </c>
      <c r="J627" s="19"/>
      <c r="K627" s="5">
        <v>625</v>
      </c>
      <c r="L627" s="8">
        <f t="shared" si="161"/>
        <v>4</v>
      </c>
      <c r="M627" s="8">
        <f t="shared" si="162"/>
        <v>0</v>
      </c>
      <c r="N627" s="8">
        <f t="shared" si="163"/>
        <v>0</v>
      </c>
      <c r="O627" s="8">
        <f t="shared" si="164"/>
        <v>0</v>
      </c>
      <c r="P627" s="8">
        <f t="shared" si="165"/>
        <v>0</v>
      </c>
      <c r="Q627" s="8">
        <f t="shared" si="166"/>
        <v>0</v>
      </c>
      <c r="R627" s="8">
        <f t="shared" si="167"/>
        <v>0</v>
      </c>
      <c r="S627" s="8">
        <f t="shared" si="168"/>
        <v>1</v>
      </c>
      <c r="T627" s="8">
        <f t="shared" si="169"/>
        <v>0</v>
      </c>
      <c r="V627" s="8">
        <f t="shared" si="170"/>
        <v>4</v>
      </c>
      <c r="W627">
        <f t="shared" si="171"/>
        <v>1</v>
      </c>
      <c r="Y627" t="str">
        <f t="shared" si="172"/>
        <v>joy</v>
      </c>
    </row>
    <row r="628" spans="2:25" x14ac:dyDescent="0.25">
      <c r="B628" s="5">
        <v>626</v>
      </c>
      <c r="C628" t="s">
        <v>3</v>
      </c>
      <c r="D628" t="s">
        <v>3</v>
      </c>
      <c r="E628" t="s">
        <v>3</v>
      </c>
      <c r="F628" t="s">
        <v>3</v>
      </c>
      <c r="G628" t="s">
        <v>8</v>
      </c>
      <c r="J628" s="19"/>
      <c r="K628" s="5">
        <v>626</v>
      </c>
      <c r="L628" s="8">
        <f t="shared" si="161"/>
        <v>4</v>
      </c>
      <c r="M628" s="8">
        <f t="shared" si="162"/>
        <v>0</v>
      </c>
      <c r="N628" s="8">
        <f t="shared" si="163"/>
        <v>0</v>
      </c>
      <c r="O628" s="8">
        <f t="shared" si="164"/>
        <v>0</v>
      </c>
      <c r="P628" s="8">
        <f t="shared" si="165"/>
        <v>0</v>
      </c>
      <c r="Q628" s="8">
        <f t="shared" si="166"/>
        <v>0</v>
      </c>
      <c r="R628" s="8">
        <f t="shared" si="167"/>
        <v>0</v>
      </c>
      <c r="S628" s="8">
        <f t="shared" si="168"/>
        <v>1</v>
      </c>
      <c r="T628" s="8">
        <f t="shared" si="169"/>
        <v>0</v>
      </c>
      <c r="V628" s="8">
        <f t="shared" si="170"/>
        <v>4</v>
      </c>
      <c r="W628">
        <f t="shared" si="171"/>
        <v>1</v>
      </c>
      <c r="Y628" t="str">
        <f t="shared" si="172"/>
        <v>joy</v>
      </c>
    </row>
    <row r="629" spans="2:25" x14ac:dyDescent="0.25">
      <c r="B629" s="5">
        <v>627</v>
      </c>
      <c r="C629" t="s">
        <v>3</v>
      </c>
      <c r="D629" t="s">
        <v>3</v>
      </c>
      <c r="E629" t="s">
        <v>3</v>
      </c>
      <c r="F629" t="s">
        <v>3</v>
      </c>
      <c r="G629" t="s">
        <v>1</v>
      </c>
      <c r="J629" s="19"/>
      <c r="K629" s="5">
        <v>627</v>
      </c>
      <c r="L629" s="8">
        <f t="shared" si="161"/>
        <v>4</v>
      </c>
      <c r="M629" s="8">
        <f t="shared" si="162"/>
        <v>1</v>
      </c>
      <c r="N629" s="8">
        <f t="shared" si="163"/>
        <v>0</v>
      </c>
      <c r="O629" s="8">
        <f t="shared" si="164"/>
        <v>0</v>
      </c>
      <c r="P629" s="8">
        <f t="shared" si="165"/>
        <v>0</v>
      </c>
      <c r="Q629" s="8">
        <f t="shared" si="166"/>
        <v>0</v>
      </c>
      <c r="R629" s="8">
        <f t="shared" si="167"/>
        <v>0</v>
      </c>
      <c r="S629" s="8">
        <f t="shared" si="168"/>
        <v>0</v>
      </c>
      <c r="T629" s="8">
        <f t="shared" si="169"/>
        <v>0</v>
      </c>
      <c r="V629" s="8">
        <f t="shared" si="170"/>
        <v>4</v>
      </c>
      <c r="W629">
        <f t="shared" si="171"/>
        <v>1</v>
      </c>
      <c r="Y629" t="str">
        <f t="shared" si="172"/>
        <v>joy</v>
      </c>
    </row>
    <row r="630" spans="2:25" x14ac:dyDescent="0.25">
      <c r="B630" s="5">
        <v>628</v>
      </c>
      <c r="C630" t="s">
        <v>3</v>
      </c>
      <c r="D630" t="s">
        <v>3</v>
      </c>
      <c r="E630" t="s">
        <v>2</v>
      </c>
      <c r="F630" t="s">
        <v>3</v>
      </c>
      <c r="G630" t="s">
        <v>3</v>
      </c>
      <c r="J630" s="19"/>
      <c r="K630" s="5">
        <v>628</v>
      </c>
      <c r="L630" s="8">
        <f t="shared" si="161"/>
        <v>4</v>
      </c>
      <c r="M630" s="8">
        <f t="shared" si="162"/>
        <v>0</v>
      </c>
      <c r="N630" s="8">
        <f t="shared" si="163"/>
        <v>0</v>
      </c>
      <c r="O630" s="8">
        <f t="shared" si="164"/>
        <v>0</v>
      </c>
      <c r="P630" s="8">
        <f t="shared" si="165"/>
        <v>0</v>
      </c>
      <c r="Q630" s="8">
        <f t="shared" si="166"/>
        <v>0</v>
      </c>
      <c r="R630" s="8">
        <f t="shared" si="167"/>
        <v>0</v>
      </c>
      <c r="S630" s="8">
        <f t="shared" si="168"/>
        <v>0</v>
      </c>
      <c r="T630" s="8">
        <f t="shared" si="169"/>
        <v>1</v>
      </c>
      <c r="V630" s="8">
        <f t="shared" si="170"/>
        <v>4</v>
      </c>
      <c r="W630">
        <f t="shared" si="171"/>
        <v>1</v>
      </c>
      <c r="Y630" t="str">
        <f t="shared" si="172"/>
        <v>joy</v>
      </c>
    </row>
    <row r="631" spans="2:25" x14ac:dyDescent="0.25">
      <c r="B631" s="5">
        <v>629</v>
      </c>
      <c r="C631" t="s">
        <v>3</v>
      </c>
      <c r="D631" t="s">
        <v>3</v>
      </c>
      <c r="E631" t="s">
        <v>3</v>
      </c>
      <c r="F631" t="s">
        <v>3</v>
      </c>
      <c r="G631" t="s">
        <v>2</v>
      </c>
      <c r="J631" s="19"/>
      <c r="K631" s="5">
        <v>629</v>
      </c>
      <c r="L631" s="8">
        <f t="shared" si="161"/>
        <v>4</v>
      </c>
      <c r="M631" s="8">
        <f t="shared" si="162"/>
        <v>0</v>
      </c>
      <c r="N631" s="8">
        <f t="shared" si="163"/>
        <v>0</v>
      </c>
      <c r="O631" s="8">
        <f t="shared" si="164"/>
        <v>0</v>
      </c>
      <c r="P631" s="8">
        <f t="shared" si="165"/>
        <v>0</v>
      </c>
      <c r="Q631" s="8">
        <f t="shared" si="166"/>
        <v>0</v>
      </c>
      <c r="R631" s="8">
        <f t="shared" si="167"/>
        <v>0</v>
      </c>
      <c r="S631" s="8">
        <f t="shared" si="168"/>
        <v>0</v>
      </c>
      <c r="T631" s="8">
        <f t="shared" si="169"/>
        <v>1</v>
      </c>
      <c r="V631" s="8">
        <f t="shared" si="170"/>
        <v>4</v>
      </c>
      <c r="W631">
        <f t="shared" si="171"/>
        <v>1</v>
      </c>
      <c r="Y631" t="str">
        <f t="shared" si="172"/>
        <v>joy</v>
      </c>
    </row>
    <row r="632" spans="2:25" x14ac:dyDescent="0.25">
      <c r="B632" s="5">
        <v>630</v>
      </c>
      <c r="C632" t="s">
        <v>3</v>
      </c>
      <c r="D632" t="s">
        <v>5</v>
      </c>
      <c r="E632" t="s">
        <v>5</v>
      </c>
      <c r="F632" t="s">
        <v>5</v>
      </c>
      <c r="G632" t="s">
        <v>2</v>
      </c>
      <c r="J632" s="19">
        <v>1</v>
      </c>
      <c r="K632" s="5">
        <v>630</v>
      </c>
      <c r="L632" s="8">
        <f t="shared" si="161"/>
        <v>1</v>
      </c>
      <c r="M632" s="8">
        <f t="shared" si="162"/>
        <v>0</v>
      </c>
      <c r="N632" s="8">
        <f t="shared" si="163"/>
        <v>0</v>
      </c>
      <c r="O632" s="8">
        <f t="shared" si="164"/>
        <v>0</v>
      </c>
      <c r="P632" s="8">
        <f t="shared" si="165"/>
        <v>3</v>
      </c>
      <c r="Q632" s="8">
        <f t="shared" si="166"/>
        <v>0</v>
      </c>
      <c r="R632" s="8">
        <f t="shared" si="167"/>
        <v>0</v>
      </c>
      <c r="S632" s="8">
        <f t="shared" si="168"/>
        <v>0</v>
      </c>
      <c r="T632" s="8">
        <f t="shared" si="169"/>
        <v>1</v>
      </c>
      <c r="V632" s="8">
        <f t="shared" si="170"/>
        <v>3</v>
      </c>
      <c r="W632">
        <f t="shared" si="171"/>
        <v>1</v>
      </c>
      <c r="Y632" t="str">
        <f t="shared" si="172"/>
        <v>sadness</v>
      </c>
    </row>
    <row r="633" spans="2:25" x14ac:dyDescent="0.25">
      <c r="B633" s="5">
        <v>631</v>
      </c>
      <c r="C633" t="s">
        <v>3</v>
      </c>
      <c r="D633" t="s">
        <v>3</v>
      </c>
      <c r="E633" t="s">
        <v>5</v>
      </c>
      <c r="F633" t="s">
        <v>3</v>
      </c>
      <c r="G633" t="s">
        <v>2</v>
      </c>
      <c r="J633" s="19">
        <v>1</v>
      </c>
      <c r="K633" s="5">
        <v>631</v>
      </c>
      <c r="L633" s="8">
        <f t="shared" ref="L633:L637" si="173">COUNTIFS(C633:G633, "joy")</f>
        <v>3</v>
      </c>
      <c r="M633" s="8">
        <f t="shared" ref="M633:M637" si="174">COUNTIFS(C633:G633, "trust")</f>
        <v>0</v>
      </c>
      <c r="N633" s="8">
        <f t="shared" ref="N633:N637" si="175">COUNTIFS(C633:G633, "fear")</f>
        <v>0</v>
      </c>
      <c r="O633" s="8">
        <f t="shared" ref="O633:O637" si="176">COUNTIFS(C633:G633, "surprise")</f>
        <v>0</v>
      </c>
      <c r="P633" s="8">
        <f t="shared" ref="P633:P637" si="177">COUNTIFS(C633:G633, "sadness")</f>
        <v>1</v>
      </c>
      <c r="Q633" s="8">
        <f t="shared" ref="Q633:Q637" si="178">COUNTIFS(C633:G633, "disgust")</f>
        <v>0</v>
      </c>
      <c r="R633" s="8">
        <f t="shared" ref="R633:R637" si="179">COUNTIFS(C633:G633, "anger")</f>
        <v>0</v>
      </c>
      <c r="S633" s="8">
        <f t="shared" ref="S633:S637" si="180">COUNTIFS(C633:G633, "anticipation")</f>
        <v>0</v>
      </c>
      <c r="T633" s="8">
        <f t="shared" ref="T633:T637" si="181">COUNTIFS(C633:G633, "AMBIGUOUS")</f>
        <v>1</v>
      </c>
      <c r="V633" s="8">
        <f t="shared" si="170"/>
        <v>3</v>
      </c>
      <c r="W633">
        <f t="shared" si="171"/>
        <v>1</v>
      </c>
      <c r="Y633" t="str">
        <f t="shared" si="172"/>
        <v>joy</v>
      </c>
    </row>
    <row r="634" spans="2:25" x14ac:dyDescent="0.25">
      <c r="B634" s="5">
        <v>632</v>
      </c>
      <c r="C634" t="s">
        <v>3</v>
      </c>
      <c r="D634" t="s">
        <v>5</v>
      </c>
      <c r="E634" t="s">
        <v>5</v>
      </c>
      <c r="F634" t="s">
        <v>5</v>
      </c>
      <c r="G634" t="s">
        <v>2</v>
      </c>
      <c r="J634" s="19">
        <v>1</v>
      </c>
      <c r="K634" s="5">
        <v>632</v>
      </c>
      <c r="L634" s="8">
        <f t="shared" si="173"/>
        <v>1</v>
      </c>
      <c r="M634" s="8">
        <f t="shared" si="174"/>
        <v>0</v>
      </c>
      <c r="N634" s="8">
        <f t="shared" si="175"/>
        <v>0</v>
      </c>
      <c r="O634" s="8">
        <f t="shared" si="176"/>
        <v>0</v>
      </c>
      <c r="P634" s="8">
        <f t="shared" si="177"/>
        <v>3</v>
      </c>
      <c r="Q634" s="8">
        <f t="shared" si="178"/>
        <v>0</v>
      </c>
      <c r="R634" s="8">
        <f t="shared" si="179"/>
        <v>0</v>
      </c>
      <c r="S634" s="8">
        <f t="shared" si="180"/>
        <v>0</v>
      </c>
      <c r="T634" s="8">
        <f t="shared" si="181"/>
        <v>1</v>
      </c>
      <c r="V634" s="8">
        <f t="shared" si="170"/>
        <v>3</v>
      </c>
      <c r="W634">
        <f t="shared" si="171"/>
        <v>1</v>
      </c>
      <c r="Y634" t="str">
        <f t="shared" si="172"/>
        <v>sadness</v>
      </c>
    </row>
    <row r="635" spans="2:25" x14ac:dyDescent="0.25">
      <c r="B635" s="5">
        <v>633</v>
      </c>
      <c r="C635" t="s">
        <v>3</v>
      </c>
      <c r="D635" t="s">
        <v>3</v>
      </c>
      <c r="E635" t="s">
        <v>3</v>
      </c>
      <c r="F635" t="s">
        <v>3</v>
      </c>
      <c r="G635" t="s">
        <v>2</v>
      </c>
      <c r="J635" s="19"/>
      <c r="K635" s="5">
        <v>633</v>
      </c>
      <c r="L635" s="8">
        <f t="shared" si="173"/>
        <v>4</v>
      </c>
      <c r="M635" s="8">
        <f t="shared" si="174"/>
        <v>0</v>
      </c>
      <c r="N635" s="8">
        <f t="shared" si="175"/>
        <v>0</v>
      </c>
      <c r="O635" s="8">
        <f t="shared" si="176"/>
        <v>0</v>
      </c>
      <c r="P635" s="8">
        <f t="shared" si="177"/>
        <v>0</v>
      </c>
      <c r="Q635" s="8">
        <f t="shared" si="178"/>
        <v>0</v>
      </c>
      <c r="R635" s="8">
        <f t="shared" si="179"/>
        <v>0</v>
      </c>
      <c r="S635" s="8">
        <f t="shared" si="180"/>
        <v>0</v>
      </c>
      <c r="T635" s="8">
        <f t="shared" si="181"/>
        <v>1</v>
      </c>
      <c r="V635" s="8">
        <f t="shared" si="170"/>
        <v>4</v>
      </c>
      <c r="W635">
        <f t="shared" si="171"/>
        <v>1</v>
      </c>
      <c r="Y635" t="str">
        <f t="shared" si="172"/>
        <v>joy</v>
      </c>
    </row>
    <row r="636" spans="2:25" x14ac:dyDescent="0.25">
      <c r="B636" s="5">
        <v>634</v>
      </c>
      <c r="C636" t="s">
        <v>3</v>
      </c>
      <c r="D636" t="s">
        <v>3</v>
      </c>
      <c r="E636" t="s">
        <v>3</v>
      </c>
      <c r="F636" t="s">
        <v>3</v>
      </c>
      <c r="G636" t="s">
        <v>2</v>
      </c>
      <c r="J636" s="19"/>
      <c r="K636" s="5">
        <v>634</v>
      </c>
      <c r="L636" s="8">
        <f t="shared" si="173"/>
        <v>4</v>
      </c>
      <c r="M636" s="8">
        <f t="shared" si="174"/>
        <v>0</v>
      </c>
      <c r="N636" s="8">
        <f t="shared" si="175"/>
        <v>0</v>
      </c>
      <c r="O636" s="8">
        <f t="shared" si="176"/>
        <v>0</v>
      </c>
      <c r="P636" s="8">
        <f t="shared" si="177"/>
        <v>0</v>
      </c>
      <c r="Q636" s="8">
        <f t="shared" si="178"/>
        <v>0</v>
      </c>
      <c r="R636" s="8">
        <f t="shared" si="179"/>
        <v>0</v>
      </c>
      <c r="S636" s="8">
        <f t="shared" si="180"/>
        <v>0</v>
      </c>
      <c r="T636" s="8">
        <f t="shared" si="181"/>
        <v>1</v>
      </c>
      <c r="V636" s="8">
        <f t="shared" si="170"/>
        <v>4</v>
      </c>
      <c r="W636">
        <f t="shared" si="171"/>
        <v>1</v>
      </c>
      <c r="Y636" t="str">
        <f t="shared" si="172"/>
        <v>joy</v>
      </c>
    </row>
    <row r="637" spans="2:25" x14ac:dyDescent="0.25">
      <c r="B637" s="5">
        <v>635</v>
      </c>
      <c r="C637" t="s">
        <v>3</v>
      </c>
      <c r="D637" t="s">
        <v>3</v>
      </c>
      <c r="E637" t="s">
        <v>3</v>
      </c>
      <c r="F637" t="s">
        <v>3</v>
      </c>
      <c r="G637" t="s">
        <v>2</v>
      </c>
      <c r="J637" s="19"/>
      <c r="K637" s="5">
        <v>635</v>
      </c>
      <c r="L637" s="8">
        <f t="shared" si="173"/>
        <v>4</v>
      </c>
      <c r="M637" s="8">
        <f t="shared" si="174"/>
        <v>0</v>
      </c>
      <c r="N637" s="8">
        <f t="shared" si="175"/>
        <v>0</v>
      </c>
      <c r="O637" s="8">
        <f t="shared" si="176"/>
        <v>0</v>
      </c>
      <c r="P637" s="8">
        <f t="shared" si="177"/>
        <v>0</v>
      </c>
      <c r="Q637" s="8">
        <f t="shared" si="178"/>
        <v>0</v>
      </c>
      <c r="R637" s="8">
        <f t="shared" si="179"/>
        <v>0</v>
      </c>
      <c r="S637" s="8">
        <f t="shared" si="180"/>
        <v>0</v>
      </c>
      <c r="T637" s="8">
        <f t="shared" si="181"/>
        <v>1</v>
      </c>
      <c r="V637" s="8">
        <f t="shared" si="170"/>
        <v>4</v>
      </c>
      <c r="W637">
        <f t="shared" si="171"/>
        <v>1</v>
      </c>
      <c r="Y637" t="str">
        <f t="shared" si="172"/>
        <v>joy</v>
      </c>
    </row>
  </sheetData>
  <mergeCells count="4">
    <mergeCell ref="V1:W1"/>
    <mergeCell ref="AB2:AD2"/>
    <mergeCell ref="AB20:AD20"/>
    <mergeCell ref="AF20:AH20"/>
  </mergeCells>
  <conditionalFormatting sqref="W3:W637">
    <cfRule type="cellIs" dxfId="4" priority="18" operator="equal">
      <formula>1</formula>
    </cfRule>
  </conditionalFormatting>
  <conditionalFormatting sqref="Y3:Y637">
    <cfRule type="expression" dxfId="2" priority="16">
      <formula>$W3=1</formula>
    </cfRule>
  </conditionalFormatting>
  <conditionalFormatting sqref="K3:K637">
    <cfRule type="expression" dxfId="1" priority="13">
      <formula>$J3=1</formula>
    </cfRule>
  </conditionalFormatting>
  <conditionalFormatting sqref="L3:T637">
    <cfRule type="expression" dxfId="0" priority="4">
      <formula>$W3=1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alculateNumber">
          <controlPr defaultSize="0" autoLine="0" autoPict="0" r:id="rId5">
            <anchor moveWithCells="1">
              <from>
                <xdr:col>27</xdr:col>
                <xdr:colOff>0</xdr:colOff>
                <xdr:row>37</xdr:row>
                <xdr:rowOff>0</xdr:rowOff>
              </from>
              <to>
                <xdr:col>28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028" r:id="rId4" name="CalculateNumb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5BA44-3563-4DF4-B0E7-1BED382D37F6}">
  <sheetPr codeName="Sheet2"/>
  <dimension ref="A2:H3101"/>
  <sheetViews>
    <sheetView zoomScale="80" zoomScaleNormal="80" workbookViewId="0">
      <selection activeCell="D637" sqref="D3:D637"/>
    </sheetView>
  </sheetViews>
  <sheetFormatPr defaultRowHeight="15" x14ac:dyDescent="0.25"/>
  <cols>
    <col min="3" max="3" width="82.28515625" customWidth="1"/>
    <col min="4" max="4" width="27.42578125" customWidth="1"/>
    <col min="5" max="5" width="30.7109375" customWidth="1"/>
    <col min="6" max="14" width="18.28515625" customWidth="1"/>
  </cols>
  <sheetData>
    <row r="2" spans="1:8" x14ac:dyDescent="0.25">
      <c r="B2" s="1" t="s">
        <v>10</v>
      </c>
      <c r="C2" s="3" t="s">
        <v>15</v>
      </c>
      <c r="D2" s="6" t="s">
        <v>11</v>
      </c>
      <c r="F2" s="24" t="s">
        <v>652</v>
      </c>
      <c r="G2" s="24"/>
      <c r="H2" s="24"/>
    </row>
    <row r="3" spans="1:8" x14ac:dyDescent="0.25">
      <c r="A3">
        <f>IF('Labeled Data'!J3=1, 1, "")</f>
        <v>1</v>
      </c>
      <c r="B3" s="5">
        <v>1</v>
      </c>
      <c r="C3" t="s">
        <v>16</v>
      </c>
      <c r="D3" t="str">
        <f>IF('Labeled Data'!W3=1, 'Labeled Data'!Y3, "")</f>
        <v>disgust</v>
      </c>
    </row>
    <row r="4" spans="1:8" x14ac:dyDescent="0.25">
      <c r="A4">
        <f>IF('Labeled Data'!J4=1, 1, "")</f>
        <v>1</v>
      </c>
      <c r="B4" s="5">
        <v>2</v>
      </c>
      <c r="C4" t="s">
        <v>17</v>
      </c>
      <c r="D4" t="str">
        <f>IF('Labeled Data'!W4=1, 'Labeled Data'!Y4, "")</f>
        <v>joy</v>
      </c>
      <c r="F4" s="13" t="s">
        <v>3</v>
      </c>
      <c r="H4" s="13" t="s">
        <v>6</v>
      </c>
    </row>
    <row r="5" spans="1:8" x14ac:dyDescent="0.25">
      <c r="A5">
        <f>IF('Labeled Data'!J5=1, 1, "")</f>
        <v>1</v>
      </c>
      <c r="B5" s="5">
        <v>3</v>
      </c>
      <c r="C5" t="s">
        <v>18</v>
      </c>
      <c r="D5" t="str">
        <f>IF('Labeled Data'!W5=1, 'Labeled Data'!Y5, "")</f>
        <v>sadness</v>
      </c>
      <c r="F5" s="10">
        <f>COUNTIFS($D$3:$D$637, F4)</f>
        <v>275</v>
      </c>
      <c r="H5" s="10">
        <f>COUNTIFS($D$3:$D$637, H4)</f>
        <v>43</v>
      </c>
    </row>
    <row r="6" spans="1:8" x14ac:dyDescent="0.25">
      <c r="A6" t="str">
        <f>IF('Labeled Data'!J6=1, 1, "")</f>
        <v/>
      </c>
      <c r="B6" s="5">
        <v>4</v>
      </c>
      <c r="C6" t="s">
        <v>19</v>
      </c>
      <c r="D6" t="str">
        <f>IF('Labeled Data'!W6=1, 'Labeled Data'!Y6, "")</f>
        <v>AMBIGUOUS</v>
      </c>
    </row>
    <row r="7" spans="1:8" x14ac:dyDescent="0.25">
      <c r="A7" t="str">
        <f>IF('Labeled Data'!J7=1, 1, "")</f>
        <v/>
      </c>
      <c r="B7" s="5">
        <v>5</v>
      </c>
      <c r="C7" t="s">
        <v>20</v>
      </c>
      <c r="D7" t="str">
        <f>IF('Labeled Data'!W7=1, 'Labeled Data'!Y7, "")</f>
        <v>joy</v>
      </c>
      <c r="F7" s="13" t="s">
        <v>1</v>
      </c>
      <c r="H7" s="13" t="s">
        <v>5</v>
      </c>
    </row>
    <row r="8" spans="1:8" x14ac:dyDescent="0.25">
      <c r="A8">
        <f>IF('Labeled Data'!J8=1, 1, "")</f>
        <v>1</v>
      </c>
      <c r="B8" s="5">
        <v>6</v>
      </c>
      <c r="C8" t="s">
        <v>21</v>
      </c>
      <c r="D8" t="str">
        <f>IF('Labeled Data'!W8=1, 'Labeled Data'!Y8, "")</f>
        <v>disgust</v>
      </c>
      <c r="F8" s="10">
        <f>COUNTIFS($D$3:$D$637, F7)</f>
        <v>92</v>
      </c>
      <c r="H8" s="10">
        <f>COUNTIFS($D$3:$D$637, H7)</f>
        <v>82</v>
      </c>
    </row>
    <row r="9" spans="1:8" x14ac:dyDescent="0.25">
      <c r="A9" t="str">
        <f>IF('Labeled Data'!J9=1, 1, "")</f>
        <v/>
      </c>
      <c r="B9" s="5">
        <v>7</v>
      </c>
      <c r="C9" t="s">
        <v>22</v>
      </c>
      <c r="D9" t="str">
        <f>IF('Labeled Data'!W9=1, 'Labeled Data'!Y9, "")</f>
        <v>joy</v>
      </c>
    </row>
    <row r="10" spans="1:8" x14ac:dyDescent="0.25">
      <c r="A10" t="str">
        <f>IF('Labeled Data'!J10=1, 1, "")</f>
        <v/>
      </c>
      <c r="B10" s="5">
        <v>8</v>
      </c>
      <c r="C10" t="s">
        <v>23</v>
      </c>
      <c r="D10" t="str">
        <f>IF('Labeled Data'!W10=1, 'Labeled Data'!Y10, "")</f>
        <v>AMBIGUOUS</v>
      </c>
      <c r="F10" s="13" t="s">
        <v>7</v>
      </c>
      <c r="H10" s="13" t="s">
        <v>4</v>
      </c>
    </row>
    <row r="11" spans="1:8" x14ac:dyDescent="0.25">
      <c r="A11">
        <f>IF('Labeled Data'!J11=1, 1, "")</f>
        <v>1</v>
      </c>
      <c r="B11" s="5">
        <v>9</v>
      </c>
      <c r="C11" t="s">
        <v>24</v>
      </c>
      <c r="D11" t="str">
        <f>IF('Labeled Data'!W11=1, 'Labeled Data'!Y11, "")</f>
        <v>AMBIGUOUS</v>
      </c>
      <c r="F11" s="10">
        <f>COUNTIFS($D$3:$D$637, F10)</f>
        <v>14</v>
      </c>
      <c r="H11" s="10">
        <f>COUNTIFS($D$3:$D$637, H10)</f>
        <v>15</v>
      </c>
    </row>
    <row r="12" spans="1:8" x14ac:dyDescent="0.25">
      <c r="A12" t="str">
        <f>IF('Labeled Data'!J12=1, 1, "")</f>
        <v/>
      </c>
      <c r="B12" s="5">
        <v>10</v>
      </c>
      <c r="C12" t="s">
        <v>25</v>
      </c>
      <c r="D12" t="str">
        <f>IF('Labeled Data'!W12=1, 'Labeled Data'!Y12, "")</f>
        <v>AMBIGUOUS</v>
      </c>
    </row>
    <row r="13" spans="1:8" x14ac:dyDescent="0.25">
      <c r="A13" t="str">
        <f>IF('Labeled Data'!J13=1, 1, "")</f>
        <v/>
      </c>
      <c r="B13" s="5">
        <v>11</v>
      </c>
      <c r="C13" t="s">
        <v>26</v>
      </c>
      <c r="D13" t="str">
        <f>IF('Labeled Data'!W13=1, 'Labeled Data'!Y13, "")</f>
        <v>disgust</v>
      </c>
      <c r="F13" s="13" t="s">
        <v>8</v>
      </c>
      <c r="H13" s="13" t="s">
        <v>0</v>
      </c>
    </row>
    <row r="14" spans="1:8" x14ac:dyDescent="0.25">
      <c r="A14">
        <f>IF('Labeled Data'!J14=1, 1, "")</f>
        <v>1</v>
      </c>
      <c r="B14" s="5">
        <v>12</v>
      </c>
      <c r="C14" t="s">
        <v>27</v>
      </c>
      <c r="D14" t="str">
        <f>IF('Labeled Data'!W14=1, 'Labeled Data'!Y14, "")</f>
        <v>joy</v>
      </c>
      <c r="F14" s="10">
        <f>COUNTIFS($D$3:$D$637, F13)</f>
        <v>38</v>
      </c>
      <c r="H14" s="10">
        <f>COUNTIFS($D$3:$D$637, H13)</f>
        <v>22</v>
      </c>
    </row>
    <row r="15" spans="1:8" x14ac:dyDescent="0.25">
      <c r="A15">
        <f>IF('Labeled Data'!J15=1, 1, "")</f>
        <v>1</v>
      </c>
      <c r="B15" s="5">
        <v>13</v>
      </c>
      <c r="C15" t="s">
        <v>28</v>
      </c>
      <c r="D15" t="str">
        <f>IF('Labeled Data'!W15=1, 'Labeled Data'!Y15, "")</f>
        <v>trust</v>
      </c>
    </row>
    <row r="16" spans="1:8" x14ac:dyDescent="0.25">
      <c r="A16">
        <f>IF('Labeled Data'!J16=1, 1, "")</f>
        <v>1</v>
      </c>
      <c r="B16" s="5">
        <v>14</v>
      </c>
      <c r="C16" t="s">
        <v>29</v>
      </c>
      <c r="D16" t="str">
        <f>IF('Labeled Data'!W16=1, 'Labeled Data'!Y16, "")</f>
        <v>sadness</v>
      </c>
      <c r="G16" s="13" t="s">
        <v>651</v>
      </c>
    </row>
    <row r="17" spans="1:7" x14ac:dyDescent="0.25">
      <c r="A17" t="str">
        <f>IF('Labeled Data'!J17=1, 1, "")</f>
        <v/>
      </c>
      <c r="B17" s="5">
        <v>15</v>
      </c>
      <c r="C17" t="s">
        <v>30</v>
      </c>
      <c r="D17" t="str">
        <f>IF('Labeled Data'!W17=1, 'Labeled Data'!Y17, "")</f>
        <v>sadness</v>
      </c>
      <c r="G17" s="10">
        <f>COUNTIFS($D$3:$D$637, "AMBIGUOUS")</f>
        <v>54</v>
      </c>
    </row>
    <row r="18" spans="1:7" x14ac:dyDescent="0.25">
      <c r="A18" t="str">
        <f>IF('Labeled Data'!J18=1, 1, "")</f>
        <v/>
      </c>
      <c r="B18" s="5">
        <v>16</v>
      </c>
      <c r="C18" t="s">
        <v>31</v>
      </c>
      <c r="D18" t="str">
        <f>IF('Labeled Data'!W18=1, 'Labeled Data'!Y18, "")</f>
        <v>sadness</v>
      </c>
    </row>
    <row r="19" spans="1:7" x14ac:dyDescent="0.25">
      <c r="A19">
        <f>IF('Labeled Data'!J19=1, 1, "")</f>
        <v>1</v>
      </c>
      <c r="B19" s="5">
        <v>17</v>
      </c>
      <c r="C19" t="s">
        <v>32</v>
      </c>
      <c r="D19" t="str">
        <f>IF('Labeled Data'!W19=1, 'Labeled Data'!Y19, "")</f>
        <v>sadness</v>
      </c>
    </row>
    <row r="20" spans="1:7" x14ac:dyDescent="0.25">
      <c r="A20">
        <f>IF('Labeled Data'!J20=1, 1, "")</f>
        <v>1</v>
      </c>
      <c r="B20" s="5">
        <v>18</v>
      </c>
      <c r="C20" t="s">
        <v>33</v>
      </c>
      <c r="D20" t="str">
        <f>IF('Labeled Data'!W20=1, 'Labeled Data'!Y20, "")</f>
        <v>fear</v>
      </c>
    </row>
    <row r="21" spans="1:7" x14ac:dyDescent="0.25">
      <c r="A21" t="str">
        <f>IF('Labeled Data'!J21=1, 1, "")</f>
        <v/>
      </c>
      <c r="B21" s="5">
        <v>19</v>
      </c>
      <c r="C21" t="s">
        <v>34</v>
      </c>
      <c r="D21" t="str">
        <f>IF('Labeled Data'!W21=1, 'Labeled Data'!Y21, "")</f>
        <v>fear</v>
      </c>
    </row>
    <row r="22" spans="1:7" x14ac:dyDescent="0.25">
      <c r="A22">
        <f>IF('Labeled Data'!J22=1, 1, "")</f>
        <v>1</v>
      </c>
      <c r="B22" s="5">
        <v>20</v>
      </c>
      <c r="C22" t="s">
        <v>35</v>
      </c>
      <c r="D22" t="str">
        <f>IF('Labeled Data'!W22=1, 'Labeled Data'!Y22, "")</f>
        <v>AMBIGUOUS</v>
      </c>
    </row>
    <row r="23" spans="1:7" x14ac:dyDescent="0.25">
      <c r="A23">
        <f>IF('Labeled Data'!J23=1, 1, "")</f>
        <v>1</v>
      </c>
      <c r="B23" s="5">
        <v>21</v>
      </c>
      <c r="C23" t="s">
        <v>36</v>
      </c>
      <c r="D23" t="str">
        <f>IF('Labeled Data'!W23=1, 'Labeled Data'!Y23, "")</f>
        <v>AMBIGUOUS</v>
      </c>
    </row>
    <row r="24" spans="1:7" x14ac:dyDescent="0.25">
      <c r="A24">
        <f>IF('Labeled Data'!J24=1, 1, "")</f>
        <v>1</v>
      </c>
      <c r="B24" s="5">
        <v>22</v>
      </c>
      <c r="C24" t="s">
        <v>37</v>
      </c>
      <c r="D24" t="str">
        <f>IF('Labeled Data'!W24=1, 'Labeled Data'!Y24, "")</f>
        <v>sadness</v>
      </c>
    </row>
    <row r="25" spans="1:7" x14ac:dyDescent="0.25">
      <c r="A25">
        <f>IF('Labeled Data'!J25=1, 1, "")</f>
        <v>1</v>
      </c>
      <c r="B25" s="5">
        <v>23</v>
      </c>
      <c r="C25" t="s">
        <v>38</v>
      </c>
      <c r="D25" t="str">
        <f>IF('Labeled Data'!W25=1, 'Labeled Data'!Y25, "")</f>
        <v>AMBIGUOUS</v>
      </c>
    </row>
    <row r="26" spans="1:7" x14ac:dyDescent="0.25">
      <c r="A26" t="str">
        <f>IF('Labeled Data'!J26=1, 1, "")</f>
        <v/>
      </c>
      <c r="B26" s="5">
        <v>24</v>
      </c>
      <c r="C26" t="s">
        <v>39</v>
      </c>
      <c r="D26" t="str">
        <f>IF('Labeled Data'!W26=1, 'Labeled Data'!Y26, "")</f>
        <v>AMBIGUOUS</v>
      </c>
    </row>
    <row r="27" spans="1:7" x14ac:dyDescent="0.25">
      <c r="A27">
        <f>IF('Labeled Data'!J27=1, 1, "")</f>
        <v>1</v>
      </c>
      <c r="B27" s="5">
        <v>25</v>
      </c>
      <c r="C27" t="s">
        <v>40</v>
      </c>
      <c r="D27" t="str">
        <f>IF('Labeled Data'!W27=1, 'Labeled Data'!Y27, "")</f>
        <v>disgust</v>
      </c>
    </row>
    <row r="28" spans="1:7" x14ac:dyDescent="0.25">
      <c r="A28">
        <f>IF('Labeled Data'!J28=1, 1, "")</f>
        <v>1</v>
      </c>
      <c r="B28" s="5">
        <v>26</v>
      </c>
      <c r="C28" t="s">
        <v>41</v>
      </c>
      <c r="D28" t="str">
        <f>IF('Labeled Data'!W28=1, 'Labeled Data'!Y28, "")</f>
        <v>sadness</v>
      </c>
    </row>
    <row r="29" spans="1:7" x14ac:dyDescent="0.25">
      <c r="A29" t="str">
        <f>IF('Labeled Data'!J29=1, 1, "")</f>
        <v/>
      </c>
      <c r="B29" s="5">
        <v>27</v>
      </c>
      <c r="C29" t="s">
        <v>42</v>
      </c>
      <c r="D29" t="str">
        <f>IF('Labeled Data'!W29=1, 'Labeled Data'!Y29, "")</f>
        <v>sadness</v>
      </c>
    </row>
    <row r="30" spans="1:7" x14ac:dyDescent="0.25">
      <c r="A30">
        <f>IF('Labeled Data'!J30=1, 1, "")</f>
        <v>1</v>
      </c>
      <c r="B30" s="5">
        <v>28</v>
      </c>
      <c r="C30" t="s">
        <v>43</v>
      </c>
      <c r="D30" t="str">
        <f>IF('Labeled Data'!W30=1, 'Labeled Data'!Y30, "")</f>
        <v>anticipation</v>
      </c>
    </row>
    <row r="31" spans="1:7" x14ac:dyDescent="0.25">
      <c r="A31">
        <f>IF('Labeled Data'!J31=1, 1, "")</f>
        <v>1</v>
      </c>
      <c r="B31" s="5">
        <v>29</v>
      </c>
      <c r="C31" t="s">
        <v>44</v>
      </c>
      <c r="D31" t="str">
        <f>IF('Labeled Data'!W31=1, 'Labeled Data'!Y31, "")</f>
        <v>anticipation</v>
      </c>
    </row>
    <row r="32" spans="1:7" x14ac:dyDescent="0.25">
      <c r="A32">
        <f>IF('Labeled Data'!J32=1, 1, "")</f>
        <v>1</v>
      </c>
      <c r="B32" s="5">
        <v>30</v>
      </c>
      <c r="C32" t="s">
        <v>45</v>
      </c>
      <c r="D32" t="str">
        <f>IF('Labeled Data'!W32=1, 'Labeled Data'!Y32, "")</f>
        <v>fear</v>
      </c>
    </row>
    <row r="33" spans="1:4" x14ac:dyDescent="0.25">
      <c r="A33" t="str">
        <f>IF('Labeled Data'!J33=1, 1, "")</f>
        <v/>
      </c>
      <c r="B33" s="5">
        <v>31</v>
      </c>
      <c r="C33" t="s">
        <v>46</v>
      </c>
      <c r="D33" t="str">
        <f>IF('Labeled Data'!W33=1, 'Labeled Data'!Y33, "")</f>
        <v>AMBIGUOUS</v>
      </c>
    </row>
    <row r="34" spans="1:4" x14ac:dyDescent="0.25">
      <c r="A34">
        <f>IF('Labeled Data'!J34=1, 1, "")</f>
        <v>1</v>
      </c>
      <c r="B34" s="5">
        <v>32</v>
      </c>
      <c r="C34" t="s">
        <v>47</v>
      </c>
      <c r="D34" t="str">
        <f>IF('Labeled Data'!W34=1, 'Labeled Data'!Y34, "")</f>
        <v>joy</v>
      </c>
    </row>
    <row r="35" spans="1:4" x14ac:dyDescent="0.25">
      <c r="A35">
        <f>IF('Labeled Data'!J35=1, 1, "")</f>
        <v>1</v>
      </c>
      <c r="B35" s="5">
        <v>33</v>
      </c>
      <c r="C35" t="s">
        <v>48</v>
      </c>
      <c r="D35" t="str">
        <f>IF('Labeled Data'!W35=1, 'Labeled Data'!Y35, "")</f>
        <v>AMBIGUOUS</v>
      </c>
    </row>
    <row r="36" spans="1:4" x14ac:dyDescent="0.25">
      <c r="A36" t="str">
        <f>IF('Labeled Data'!J36=1, 1, "")</f>
        <v/>
      </c>
      <c r="B36" s="5">
        <v>34</v>
      </c>
      <c r="C36" t="s">
        <v>49</v>
      </c>
      <c r="D36" t="str">
        <f>IF('Labeled Data'!W36=1, 'Labeled Data'!Y36, "")</f>
        <v>sadness</v>
      </c>
    </row>
    <row r="37" spans="1:4" x14ac:dyDescent="0.25">
      <c r="A37">
        <f>IF('Labeled Data'!J37=1, 1, "")</f>
        <v>1</v>
      </c>
      <c r="B37" s="5">
        <v>35</v>
      </c>
      <c r="C37" t="s">
        <v>50</v>
      </c>
      <c r="D37" t="str">
        <f>IF('Labeled Data'!W37=1, 'Labeled Data'!Y37, "")</f>
        <v>sadness</v>
      </c>
    </row>
    <row r="38" spans="1:4" x14ac:dyDescent="0.25">
      <c r="A38" t="str">
        <f>IF('Labeled Data'!J38=1, 1, "")</f>
        <v/>
      </c>
      <c r="B38" s="5">
        <v>36</v>
      </c>
      <c r="C38" t="s">
        <v>51</v>
      </c>
      <c r="D38" t="str">
        <f>IF('Labeled Data'!W38=1, 'Labeled Data'!Y38, "")</f>
        <v>sadness</v>
      </c>
    </row>
    <row r="39" spans="1:4" x14ac:dyDescent="0.25">
      <c r="A39" t="str">
        <f>IF('Labeled Data'!J39=1, 1, "")</f>
        <v/>
      </c>
      <c r="B39" s="5">
        <v>37</v>
      </c>
      <c r="C39" t="s">
        <v>52</v>
      </c>
      <c r="D39" t="str">
        <f>IF('Labeled Data'!W39=1, 'Labeled Data'!Y39, "")</f>
        <v>sadness</v>
      </c>
    </row>
    <row r="40" spans="1:4" x14ac:dyDescent="0.25">
      <c r="A40">
        <f>IF('Labeled Data'!J40=1, 1, "")</f>
        <v>1</v>
      </c>
      <c r="B40" s="5">
        <v>38</v>
      </c>
      <c r="C40" t="s">
        <v>53</v>
      </c>
      <c r="D40" t="str">
        <f>IF('Labeled Data'!W40=1, 'Labeled Data'!Y40, "")</f>
        <v>trust</v>
      </c>
    </row>
    <row r="41" spans="1:4" x14ac:dyDescent="0.25">
      <c r="A41" t="str">
        <f>IF('Labeled Data'!J41=1, 1, "")</f>
        <v/>
      </c>
      <c r="B41" s="5">
        <v>39</v>
      </c>
      <c r="C41" t="s">
        <v>54</v>
      </c>
      <c r="D41" t="str">
        <f>IF('Labeled Data'!W41=1, 'Labeled Data'!Y41, "")</f>
        <v>sadness</v>
      </c>
    </row>
    <row r="42" spans="1:4" x14ac:dyDescent="0.25">
      <c r="A42">
        <f>IF('Labeled Data'!J42=1, 1, "")</f>
        <v>1</v>
      </c>
      <c r="B42" s="5">
        <v>40</v>
      </c>
      <c r="C42" t="s">
        <v>55</v>
      </c>
      <c r="D42" t="str">
        <f>IF('Labeled Data'!W42=1, 'Labeled Data'!Y42, "")</f>
        <v>sadness</v>
      </c>
    </row>
    <row r="43" spans="1:4" x14ac:dyDescent="0.25">
      <c r="A43" t="str">
        <f>IF('Labeled Data'!J43=1, 1, "")</f>
        <v/>
      </c>
      <c r="B43" s="5">
        <v>41</v>
      </c>
      <c r="C43" t="s">
        <v>56</v>
      </c>
      <c r="D43" t="str">
        <f>IF('Labeled Data'!W43=1, 'Labeled Data'!Y43, "")</f>
        <v>joy</v>
      </c>
    </row>
    <row r="44" spans="1:4" x14ac:dyDescent="0.25">
      <c r="A44">
        <f>IF('Labeled Data'!J44=1, 1, "")</f>
        <v>1</v>
      </c>
      <c r="B44" s="5">
        <v>42</v>
      </c>
      <c r="C44" t="s">
        <v>57</v>
      </c>
      <c r="D44" t="str">
        <f>IF('Labeled Data'!W44=1, 'Labeled Data'!Y44, "")</f>
        <v>sadness</v>
      </c>
    </row>
    <row r="45" spans="1:4" x14ac:dyDescent="0.25">
      <c r="A45">
        <f>IF('Labeled Data'!J45=1, 1, "")</f>
        <v>1</v>
      </c>
      <c r="B45" s="5">
        <v>43</v>
      </c>
      <c r="C45" t="s">
        <v>58</v>
      </c>
      <c r="D45" t="str">
        <f>IF('Labeled Data'!W45=1, 'Labeled Data'!Y45, "")</f>
        <v>sadness</v>
      </c>
    </row>
    <row r="46" spans="1:4" x14ac:dyDescent="0.25">
      <c r="A46">
        <f>IF('Labeled Data'!J46=1, 1, "")</f>
        <v>1</v>
      </c>
      <c r="B46" s="5">
        <v>44</v>
      </c>
      <c r="C46" t="s">
        <v>59</v>
      </c>
      <c r="D46" t="str">
        <f>IF('Labeled Data'!W46=1, 'Labeled Data'!Y46, "")</f>
        <v>anticipation</v>
      </c>
    </row>
    <row r="47" spans="1:4" x14ac:dyDescent="0.25">
      <c r="A47">
        <f>IF('Labeled Data'!J47=1, 1, "")</f>
        <v>1</v>
      </c>
      <c r="B47" s="5">
        <v>45</v>
      </c>
      <c r="C47" t="s">
        <v>60</v>
      </c>
      <c r="D47" t="str">
        <f>IF('Labeled Data'!W47=1, 'Labeled Data'!Y47, "")</f>
        <v>anticipation</v>
      </c>
    </row>
    <row r="48" spans="1:4" x14ac:dyDescent="0.25">
      <c r="A48" t="str">
        <f>IF('Labeled Data'!J48=1, 1, "")</f>
        <v/>
      </c>
      <c r="B48" s="5">
        <v>46</v>
      </c>
      <c r="C48" t="s">
        <v>61</v>
      </c>
      <c r="D48" t="str">
        <f>IF('Labeled Data'!W48=1, 'Labeled Data'!Y48, "")</f>
        <v>sadness</v>
      </c>
    </row>
    <row r="49" spans="1:4" x14ac:dyDescent="0.25">
      <c r="A49">
        <f>IF('Labeled Data'!J49=1, 1, "")</f>
        <v>1</v>
      </c>
      <c r="B49" s="5">
        <v>47</v>
      </c>
      <c r="C49" t="s">
        <v>62</v>
      </c>
      <c r="D49" t="str">
        <f>IF('Labeled Data'!W49=1, 'Labeled Data'!Y49, "")</f>
        <v>fear</v>
      </c>
    </row>
    <row r="50" spans="1:4" x14ac:dyDescent="0.25">
      <c r="A50" t="str">
        <f>IF('Labeled Data'!J50=1, 1, "")</f>
        <v/>
      </c>
      <c r="B50" s="5">
        <v>48</v>
      </c>
      <c r="C50" t="s">
        <v>63</v>
      </c>
      <c r="D50" t="str">
        <f>IF('Labeled Data'!W50=1, 'Labeled Data'!Y50, "")</f>
        <v>joy</v>
      </c>
    </row>
    <row r="51" spans="1:4" x14ac:dyDescent="0.25">
      <c r="A51" t="str">
        <f>IF('Labeled Data'!J51=1, 1, "")</f>
        <v/>
      </c>
      <c r="B51" s="5">
        <v>49</v>
      </c>
      <c r="C51" t="s">
        <v>64</v>
      </c>
      <c r="D51" t="str">
        <f>IF('Labeled Data'!W51=1, 'Labeled Data'!Y51, "")</f>
        <v>sadness</v>
      </c>
    </row>
    <row r="52" spans="1:4" x14ac:dyDescent="0.25">
      <c r="A52" t="str">
        <f>IF('Labeled Data'!J52=1, 1, "")</f>
        <v/>
      </c>
      <c r="B52" s="5">
        <v>50</v>
      </c>
      <c r="C52" t="s">
        <v>65</v>
      </c>
      <c r="D52" t="str">
        <f>IF('Labeled Data'!W52=1, 'Labeled Data'!Y52, "")</f>
        <v>joy</v>
      </c>
    </row>
    <row r="53" spans="1:4" x14ac:dyDescent="0.25">
      <c r="A53">
        <f>IF('Labeled Data'!J53=1, 1, "")</f>
        <v>1</v>
      </c>
      <c r="B53" s="5">
        <v>51</v>
      </c>
      <c r="C53" t="s">
        <v>66</v>
      </c>
      <c r="D53" t="str">
        <f>IF('Labeled Data'!W53=1, 'Labeled Data'!Y53, "")</f>
        <v>trust</v>
      </c>
    </row>
    <row r="54" spans="1:4" x14ac:dyDescent="0.25">
      <c r="A54" t="str">
        <f>IF('Labeled Data'!J54=1, 1, "")</f>
        <v/>
      </c>
      <c r="B54" s="5">
        <v>52</v>
      </c>
      <c r="C54" t="s">
        <v>67</v>
      </c>
      <c r="D54" t="str">
        <f>IF('Labeled Data'!W54=1, 'Labeled Data'!Y54, "")</f>
        <v>joy</v>
      </c>
    </row>
    <row r="55" spans="1:4" x14ac:dyDescent="0.25">
      <c r="A55" t="str">
        <f>IF('Labeled Data'!J55=1, 1, "")</f>
        <v/>
      </c>
      <c r="B55" s="5">
        <v>53</v>
      </c>
      <c r="C55" t="s">
        <v>68</v>
      </c>
      <c r="D55" t="str">
        <f>IF('Labeled Data'!W55=1, 'Labeled Data'!Y55, "")</f>
        <v>sadness</v>
      </c>
    </row>
    <row r="56" spans="1:4" x14ac:dyDescent="0.25">
      <c r="A56">
        <f>IF('Labeled Data'!J56=1, 1, "")</f>
        <v>1</v>
      </c>
      <c r="B56" s="5">
        <v>54</v>
      </c>
      <c r="C56" t="s">
        <v>69</v>
      </c>
      <c r="D56" t="str">
        <f>IF('Labeled Data'!W56=1, 'Labeled Data'!Y56, "")</f>
        <v>sadness</v>
      </c>
    </row>
    <row r="57" spans="1:4" x14ac:dyDescent="0.25">
      <c r="A57">
        <f>IF('Labeled Data'!J57=1, 1, "")</f>
        <v>1</v>
      </c>
      <c r="B57" s="5">
        <v>55</v>
      </c>
      <c r="C57" t="s">
        <v>70</v>
      </c>
      <c r="D57" t="str">
        <f>IF('Labeled Data'!W57=1, 'Labeled Data'!Y57, "")</f>
        <v>sadness</v>
      </c>
    </row>
    <row r="58" spans="1:4" x14ac:dyDescent="0.25">
      <c r="A58">
        <f>IF('Labeled Data'!J58=1, 1, "")</f>
        <v>1</v>
      </c>
      <c r="B58" s="5">
        <v>56</v>
      </c>
      <c r="C58" t="s">
        <v>71</v>
      </c>
      <c r="D58" t="str">
        <f>IF('Labeled Data'!W58=1, 'Labeled Data'!Y58, "")</f>
        <v>trust</v>
      </c>
    </row>
    <row r="59" spans="1:4" x14ac:dyDescent="0.25">
      <c r="A59">
        <f>IF('Labeled Data'!J59=1, 1, "")</f>
        <v>1</v>
      </c>
      <c r="B59" s="5">
        <v>57</v>
      </c>
      <c r="C59" t="s">
        <v>72</v>
      </c>
      <c r="D59" t="str">
        <f>IF('Labeled Data'!W59=1, 'Labeled Data'!Y59, "")</f>
        <v>joy</v>
      </c>
    </row>
    <row r="60" spans="1:4" x14ac:dyDescent="0.25">
      <c r="A60" t="str">
        <f>IF('Labeled Data'!J60=1, 1, "")</f>
        <v/>
      </c>
      <c r="B60" s="5">
        <v>58</v>
      </c>
      <c r="C60" t="s">
        <v>73</v>
      </c>
      <c r="D60" t="str">
        <f>IF('Labeled Data'!W60=1, 'Labeled Data'!Y60, "")</f>
        <v>AMBIGUOUS</v>
      </c>
    </row>
    <row r="61" spans="1:4" x14ac:dyDescent="0.25">
      <c r="A61">
        <f>IF('Labeled Data'!J61=1, 1, "")</f>
        <v>1</v>
      </c>
      <c r="B61" s="5">
        <v>59</v>
      </c>
      <c r="C61" t="s">
        <v>74</v>
      </c>
      <c r="D61" t="str">
        <f>IF('Labeled Data'!W61=1, 'Labeled Data'!Y61, "")</f>
        <v>anger</v>
      </c>
    </row>
    <row r="62" spans="1:4" x14ac:dyDescent="0.25">
      <c r="A62" t="str">
        <f>IF('Labeled Data'!J62=1, 1, "")</f>
        <v/>
      </c>
      <c r="B62" s="5">
        <v>60</v>
      </c>
      <c r="C62" t="s">
        <v>75</v>
      </c>
      <c r="D62" t="str">
        <f>IF('Labeled Data'!W62=1, 'Labeled Data'!Y62, "")</f>
        <v>joy</v>
      </c>
    </row>
    <row r="63" spans="1:4" x14ac:dyDescent="0.25">
      <c r="A63">
        <f>IF('Labeled Data'!J63=1, 1, "")</f>
        <v>1</v>
      </c>
      <c r="B63" s="5">
        <v>61</v>
      </c>
      <c r="C63" t="s">
        <v>76</v>
      </c>
      <c r="D63" t="str">
        <f>IF('Labeled Data'!W63=1, 'Labeled Data'!Y63, "")</f>
        <v>anticipation</v>
      </c>
    </row>
    <row r="64" spans="1:4" x14ac:dyDescent="0.25">
      <c r="A64">
        <f>IF('Labeled Data'!J64=1, 1, "")</f>
        <v>1</v>
      </c>
      <c r="B64" s="5">
        <v>62</v>
      </c>
      <c r="C64" t="s">
        <v>77</v>
      </c>
      <c r="D64" t="str">
        <f>IF('Labeled Data'!W64=1, 'Labeled Data'!Y64, "")</f>
        <v>trust</v>
      </c>
    </row>
    <row r="65" spans="1:4" x14ac:dyDescent="0.25">
      <c r="A65">
        <f>IF('Labeled Data'!J65=1, 1, "")</f>
        <v>1</v>
      </c>
      <c r="B65" s="5">
        <v>63</v>
      </c>
      <c r="C65" t="s">
        <v>78</v>
      </c>
      <c r="D65" t="str">
        <f>IF('Labeled Data'!W65=1, 'Labeled Data'!Y65, "")</f>
        <v>trust</v>
      </c>
    </row>
    <row r="66" spans="1:4" x14ac:dyDescent="0.25">
      <c r="A66">
        <f>IF('Labeled Data'!J66=1, 1, "")</f>
        <v>1</v>
      </c>
      <c r="B66" s="5">
        <v>64</v>
      </c>
      <c r="C66" t="s">
        <v>79</v>
      </c>
      <c r="D66" t="str">
        <f>IF('Labeled Data'!W66=1, 'Labeled Data'!Y66, "")</f>
        <v>joy</v>
      </c>
    </row>
    <row r="67" spans="1:4" x14ac:dyDescent="0.25">
      <c r="A67">
        <f>IF('Labeled Data'!J67=1, 1, "")</f>
        <v>1</v>
      </c>
      <c r="B67" s="5">
        <v>65</v>
      </c>
      <c r="C67" t="s">
        <v>80</v>
      </c>
      <c r="D67" t="str">
        <f>IF('Labeled Data'!W67=1, 'Labeled Data'!Y67, "")</f>
        <v>trust</v>
      </c>
    </row>
    <row r="68" spans="1:4" x14ac:dyDescent="0.25">
      <c r="A68" t="str">
        <f>IF('Labeled Data'!J68=1, 1, "")</f>
        <v/>
      </c>
      <c r="B68" s="5">
        <v>66</v>
      </c>
      <c r="C68" t="s">
        <v>81</v>
      </c>
      <c r="D68" t="str">
        <f>IF('Labeled Data'!W68=1, 'Labeled Data'!Y68, "")</f>
        <v>joy</v>
      </c>
    </row>
    <row r="69" spans="1:4" x14ac:dyDescent="0.25">
      <c r="A69" t="str">
        <f>IF('Labeled Data'!J69=1, 1, "")</f>
        <v/>
      </c>
      <c r="B69" s="5">
        <v>67</v>
      </c>
      <c r="C69" t="s">
        <v>82</v>
      </c>
      <c r="D69" t="str">
        <f>IF('Labeled Data'!W69=1, 'Labeled Data'!Y69, "")</f>
        <v>AMBIGUOUS</v>
      </c>
    </row>
    <row r="70" spans="1:4" x14ac:dyDescent="0.25">
      <c r="A70">
        <f>IF('Labeled Data'!J70=1, 1, "")</f>
        <v>1</v>
      </c>
      <c r="B70" s="5">
        <v>68</v>
      </c>
      <c r="C70" t="s">
        <v>83</v>
      </c>
      <c r="D70" t="str">
        <f>IF('Labeled Data'!W70=1, 'Labeled Data'!Y70, "")</f>
        <v>sadness</v>
      </c>
    </row>
    <row r="71" spans="1:4" x14ac:dyDescent="0.25">
      <c r="A71">
        <f>IF('Labeled Data'!J71=1, 1, "")</f>
        <v>1</v>
      </c>
      <c r="B71" s="5">
        <v>69</v>
      </c>
      <c r="C71" t="s">
        <v>84</v>
      </c>
      <c r="D71" t="str">
        <f>IF('Labeled Data'!W71=1, 'Labeled Data'!Y71, "")</f>
        <v>sadness</v>
      </c>
    </row>
    <row r="72" spans="1:4" x14ac:dyDescent="0.25">
      <c r="A72" t="str">
        <f>IF('Labeled Data'!J72=1, 1, "")</f>
        <v/>
      </c>
      <c r="B72" s="5">
        <v>70</v>
      </c>
      <c r="C72" t="s">
        <v>85</v>
      </c>
      <c r="D72" t="str">
        <f>IF('Labeled Data'!W72=1, 'Labeled Data'!Y72, "")</f>
        <v>joy</v>
      </c>
    </row>
    <row r="73" spans="1:4" x14ac:dyDescent="0.25">
      <c r="A73">
        <f>IF('Labeled Data'!J73=1, 1, "")</f>
        <v>1</v>
      </c>
      <c r="B73" s="5">
        <v>71</v>
      </c>
      <c r="C73" t="s">
        <v>86</v>
      </c>
      <c r="D73" t="str">
        <f>IF('Labeled Data'!W73=1, 'Labeled Data'!Y73, "")</f>
        <v>joy</v>
      </c>
    </row>
    <row r="74" spans="1:4" x14ac:dyDescent="0.25">
      <c r="A74" t="str">
        <f>IF('Labeled Data'!J74=1, 1, "")</f>
        <v/>
      </c>
      <c r="B74" s="5">
        <v>72</v>
      </c>
      <c r="C74" t="s">
        <v>87</v>
      </c>
      <c r="D74" t="str">
        <f>IF('Labeled Data'!W74=1, 'Labeled Data'!Y74, "")</f>
        <v>joy</v>
      </c>
    </row>
    <row r="75" spans="1:4" x14ac:dyDescent="0.25">
      <c r="A75" t="str">
        <f>IF('Labeled Data'!J75=1, 1, "")</f>
        <v/>
      </c>
      <c r="B75" s="5">
        <v>73</v>
      </c>
      <c r="C75" t="s">
        <v>88</v>
      </c>
      <c r="D75" t="str">
        <f>IF('Labeled Data'!W75=1, 'Labeled Data'!Y75, "")</f>
        <v>AMBIGUOUS</v>
      </c>
    </row>
    <row r="76" spans="1:4" x14ac:dyDescent="0.25">
      <c r="A76" t="str">
        <f>IF('Labeled Data'!J76=1, 1, "")</f>
        <v/>
      </c>
      <c r="B76" s="5">
        <v>74</v>
      </c>
      <c r="C76" t="s">
        <v>89</v>
      </c>
      <c r="D76" t="str">
        <f>IF('Labeled Data'!W76=1, 'Labeled Data'!Y76, "")</f>
        <v>joy</v>
      </c>
    </row>
    <row r="77" spans="1:4" x14ac:dyDescent="0.25">
      <c r="A77">
        <f>IF('Labeled Data'!J77=1, 1, "")</f>
        <v>1</v>
      </c>
      <c r="B77" s="5">
        <v>75</v>
      </c>
      <c r="C77" t="s">
        <v>90</v>
      </c>
      <c r="D77" t="str">
        <f>IF('Labeled Data'!W77=1, 'Labeled Data'!Y77, "")</f>
        <v>sadness</v>
      </c>
    </row>
    <row r="78" spans="1:4" x14ac:dyDescent="0.25">
      <c r="A78" t="str">
        <f>IF('Labeled Data'!J78=1, 1, "")</f>
        <v/>
      </c>
      <c r="B78" s="5">
        <v>76</v>
      </c>
      <c r="C78" t="s">
        <v>91</v>
      </c>
      <c r="D78" t="str">
        <f>IF('Labeled Data'!W78=1, 'Labeled Data'!Y78, "")</f>
        <v>sadness</v>
      </c>
    </row>
    <row r="79" spans="1:4" x14ac:dyDescent="0.25">
      <c r="A79">
        <f>IF('Labeled Data'!J79=1, 1, "")</f>
        <v>1</v>
      </c>
      <c r="B79" s="5">
        <v>77</v>
      </c>
      <c r="C79" t="s">
        <v>92</v>
      </c>
      <c r="D79" t="str">
        <f>IF('Labeled Data'!W79=1, 'Labeled Data'!Y79, "")</f>
        <v>joy</v>
      </c>
    </row>
    <row r="80" spans="1:4" x14ac:dyDescent="0.25">
      <c r="A80">
        <f>IF('Labeled Data'!J80=1, 1, "")</f>
        <v>1</v>
      </c>
      <c r="B80" s="5">
        <v>78</v>
      </c>
      <c r="C80" t="s">
        <v>93</v>
      </c>
      <c r="D80" t="str">
        <f>IF('Labeled Data'!W80=1, 'Labeled Data'!Y80, "")</f>
        <v>fear</v>
      </c>
    </row>
    <row r="81" spans="1:4" x14ac:dyDescent="0.25">
      <c r="A81" t="str">
        <f>IF('Labeled Data'!J81=1, 1, "")</f>
        <v/>
      </c>
      <c r="B81" s="5">
        <v>79</v>
      </c>
      <c r="C81" t="s">
        <v>94</v>
      </c>
      <c r="D81" t="str">
        <f>IF('Labeled Data'!W81=1, 'Labeled Data'!Y81, "")</f>
        <v>trust</v>
      </c>
    </row>
    <row r="82" spans="1:4" x14ac:dyDescent="0.25">
      <c r="A82">
        <f>IF('Labeled Data'!J82=1, 1, "")</f>
        <v>1</v>
      </c>
      <c r="B82" s="5">
        <v>80</v>
      </c>
      <c r="C82" t="s">
        <v>95</v>
      </c>
      <c r="D82" t="str">
        <f>IF('Labeled Data'!W82=1, 'Labeled Data'!Y82, "")</f>
        <v>fear</v>
      </c>
    </row>
    <row r="83" spans="1:4" x14ac:dyDescent="0.25">
      <c r="A83" t="str">
        <f>IF('Labeled Data'!J83=1, 1, "")</f>
        <v/>
      </c>
      <c r="B83" s="5">
        <v>81</v>
      </c>
      <c r="C83" t="s">
        <v>96</v>
      </c>
      <c r="D83" t="str">
        <f>IF('Labeled Data'!W83=1, 'Labeled Data'!Y83, "")</f>
        <v>joy</v>
      </c>
    </row>
    <row r="84" spans="1:4" x14ac:dyDescent="0.25">
      <c r="A84" t="str">
        <f>IF('Labeled Data'!J84=1, 1, "")</f>
        <v/>
      </c>
      <c r="B84" s="5">
        <v>82</v>
      </c>
      <c r="C84" t="s">
        <v>97</v>
      </c>
      <c r="D84" t="str">
        <f>IF('Labeled Data'!W84=1, 'Labeled Data'!Y84, "")</f>
        <v>joy</v>
      </c>
    </row>
    <row r="85" spans="1:4" x14ac:dyDescent="0.25">
      <c r="A85">
        <f>IF('Labeled Data'!J85=1, 1, "")</f>
        <v>1</v>
      </c>
      <c r="B85" s="5">
        <v>83</v>
      </c>
      <c r="C85" t="s">
        <v>98</v>
      </c>
      <c r="D85" t="str">
        <f>IF('Labeled Data'!W85=1, 'Labeled Data'!Y85, "")</f>
        <v>anticipation</v>
      </c>
    </row>
    <row r="86" spans="1:4" x14ac:dyDescent="0.25">
      <c r="A86" t="str">
        <f>IF('Labeled Data'!J86=1, 1, "")</f>
        <v/>
      </c>
      <c r="B86" s="5">
        <v>84</v>
      </c>
      <c r="C86" t="s">
        <v>99</v>
      </c>
      <c r="D86" t="str">
        <f>IF('Labeled Data'!W86=1, 'Labeled Data'!Y86, "")</f>
        <v>joy</v>
      </c>
    </row>
    <row r="87" spans="1:4" x14ac:dyDescent="0.25">
      <c r="A87" t="str">
        <f>IF('Labeled Data'!J87=1, 1, "")</f>
        <v/>
      </c>
      <c r="B87" s="5">
        <v>85</v>
      </c>
      <c r="C87" t="s">
        <v>100</v>
      </c>
      <c r="D87" t="str">
        <f>IF('Labeled Data'!W87=1, 'Labeled Data'!Y87, "")</f>
        <v>joy</v>
      </c>
    </row>
    <row r="88" spans="1:4" x14ac:dyDescent="0.25">
      <c r="A88" t="str">
        <f>IF('Labeled Data'!J88=1, 1, "")</f>
        <v/>
      </c>
      <c r="B88" s="5">
        <v>86</v>
      </c>
      <c r="C88" t="s">
        <v>101</v>
      </c>
      <c r="D88" t="str">
        <f>IF('Labeled Data'!W88=1, 'Labeled Data'!Y88, "")</f>
        <v>trust</v>
      </c>
    </row>
    <row r="89" spans="1:4" x14ac:dyDescent="0.25">
      <c r="A89" t="str">
        <f>IF('Labeled Data'!J89=1, 1, "")</f>
        <v/>
      </c>
      <c r="B89" s="5">
        <v>87</v>
      </c>
      <c r="C89" t="s">
        <v>102</v>
      </c>
      <c r="D89" t="str">
        <f>IF('Labeled Data'!W89=1, 'Labeled Data'!Y89, "")</f>
        <v>joy</v>
      </c>
    </row>
    <row r="90" spans="1:4" x14ac:dyDescent="0.25">
      <c r="A90">
        <f>IF('Labeled Data'!J90=1, 1, "")</f>
        <v>1</v>
      </c>
      <c r="B90" s="5">
        <v>88</v>
      </c>
      <c r="C90" t="s">
        <v>103</v>
      </c>
      <c r="D90" t="str">
        <f>IF('Labeled Data'!W90=1, 'Labeled Data'!Y90, "")</f>
        <v>fear</v>
      </c>
    </row>
    <row r="91" spans="1:4" x14ac:dyDescent="0.25">
      <c r="A91">
        <f>IF('Labeled Data'!J91=1, 1, "")</f>
        <v>1</v>
      </c>
      <c r="B91" s="5">
        <v>89</v>
      </c>
      <c r="C91" t="s">
        <v>104</v>
      </c>
      <c r="D91" t="str">
        <f>IF('Labeled Data'!W91=1, 'Labeled Data'!Y91, "")</f>
        <v>anticipation</v>
      </c>
    </row>
    <row r="92" spans="1:4" x14ac:dyDescent="0.25">
      <c r="A92" t="str">
        <f>IF('Labeled Data'!J92=1, 1, "")</f>
        <v/>
      </c>
      <c r="B92" s="5">
        <v>90</v>
      </c>
      <c r="C92" t="s">
        <v>105</v>
      </c>
      <c r="D92" t="str">
        <f>IF('Labeled Data'!W92=1, 'Labeled Data'!Y92, "")</f>
        <v>trust</v>
      </c>
    </row>
    <row r="93" spans="1:4" x14ac:dyDescent="0.25">
      <c r="A93" t="str">
        <f>IF('Labeled Data'!J93=1, 1, "")</f>
        <v/>
      </c>
      <c r="B93" s="5">
        <v>91</v>
      </c>
      <c r="C93" t="s">
        <v>106</v>
      </c>
      <c r="D93" t="str">
        <f>IF('Labeled Data'!W93=1, 'Labeled Data'!Y93, "")</f>
        <v>joy</v>
      </c>
    </row>
    <row r="94" spans="1:4" x14ac:dyDescent="0.25">
      <c r="A94">
        <f>IF('Labeled Data'!J94=1, 1, "")</f>
        <v>1</v>
      </c>
      <c r="B94" s="5">
        <v>92</v>
      </c>
      <c r="C94" t="s">
        <v>107</v>
      </c>
      <c r="D94" t="str">
        <f>IF('Labeled Data'!W94=1, 'Labeled Data'!Y94, "")</f>
        <v>sadness</v>
      </c>
    </row>
    <row r="95" spans="1:4" x14ac:dyDescent="0.25">
      <c r="A95" t="str">
        <f>IF('Labeled Data'!J95=1, 1, "")</f>
        <v/>
      </c>
      <c r="B95" s="5">
        <v>93</v>
      </c>
      <c r="C95" t="s">
        <v>108</v>
      </c>
      <c r="D95" t="str">
        <f>IF('Labeled Data'!W95=1, 'Labeled Data'!Y95, "")</f>
        <v>trust</v>
      </c>
    </row>
    <row r="96" spans="1:4" x14ac:dyDescent="0.25">
      <c r="A96">
        <f>IF('Labeled Data'!J96=1, 1, "")</f>
        <v>1</v>
      </c>
      <c r="B96" s="5">
        <v>94</v>
      </c>
      <c r="C96" t="s">
        <v>109</v>
      </c>
      <c r="D96" t="str">
        <f>IF('Labeled Data'!W96=1, 'Labeled Data'!Y96, "")</f>
        <v>sadness</v>
      </c>
    </row>
    <row r="97" spans="1:4" x14ac:dyDescent="0.25">
      <c r="A97">
        <f>IF('Labeled Data'!J97=1, 1, "")</f>
        <v>1</v>
      </c>
      <c r="B97" s="5">
        <v>95</v>
      </c>
      <c r="C97" t="s">
        <v>110</v>
      </c>
      <c r="D97" t="str">
        <f>IF('Labeled Data'!W97=1, 'Labeled Data'!Y97, "")</f>
        <v>disgust</v>
      </c>
    </row>
    <row r="98" spans="1:4" x14ac:dyDescent="0.25">
      <c r="A98" t="str">
        <f>IF('Labeled Data'!J98=1, 1, "")</f>
        <v/>
      </c>
      <c r="B98" s="5">
        <v>96</v>
      </c>
      <c r="C98" t="s">
        <v>111</v>
      </c>
      <c r="D98" t="str">
        <f>IF('Labeled Data'!W98=1, 'Labeled Data'!Y98, "")</f>
        <v>anger</v>
      </c>
    </row>
    <row r="99" spans="1:4" x14ac:dyDescent="0.25">
      <c r="A99" t="str">
        <f>IF('Labeled Data'!J99=1, 1, "")</f>
        <v/>
      </c>
      <c r="B99" s="5">
        <v>97</v>
      </c>
      <c r="C99" t="s">
        <v>112</v>
      </c>
      <c r="D99" t="str">
        <f>IF('Labeled Data'!W99=1, 'Labeled Data'!Y99, "")</f>
        <v>anticipation</v>
      </c>
    </row>
    <row r="100" spans="1:4" x14ac:dyDescent="0.25">
      <c r="A100">
        <f>IF('Labeled Data'!J100=1, 1, "")</f>
        <v>1</v>
      </c>
      <c r="B100" s="5">
        <v>98</v>
      </c>
      <c r="C100" t="s">
        <v>113</v>
      </c>
      <c r="D100" t="str">
        <f>IF('Labeled Data'!W100=1, 'Labeled Data'!Y100, "")</f>
        <v>anticipation</v>
      </c>
    </row>
    <row r="101" spans="1:4" x14ac:dyDescent="0.25">
      <c r="A101" t="str">
        <f>IF('Labeled Data'!J101=1, 1, "")</f>
        <v/>
      </c>
      <c r="B101" s="5">
        <v>99</v>
      </c>
      <c r="C101" t="s">
        <v>114</v>
      </c>
      <c r="D101" t="str">
        <f>IF('Labeled Data'!W101=1, 'Labeled Data'!Y101, "")</f>
        <v>joy</v>
      </c>
    </row>
    <row r="102" spans="1:4" x14ac:dyDescent="0.25">
      <c r="A102">
        <f>IF('Labeled Data'!J102=1, 1, "")</f>
        <v>1</v>
      </c>
      <c r="B102" s="5">
        <v>100</v>
      </c>
      <c r="C102" t="s">
        <v>115</v>
      </c>
      <c r="D102" t="str">
        <f>IF('Labeled Data'!W102=1, 'Labeled Data'!Y102, "")</f>
        <v>anticipation</v>
      </c>
    </row>
    <row r="103" spans="1:4" x14ac:dyDescent="0.25">
      <c r="A103">
        <f>IF('Labeled Data'!J103=1, 1, "")</f>
        <v>1</v>
      </c>
      <c r="B103" s="5">
        <v>101</v>
      </c>
      <c r="C103" t="s">
        <v>116</v>
      </c>
      <c r="D103" t="str">
        <f>IF('Labeled Data'!W103=1, 'Labeled Data'!Y103, "")</f>
        <v>anger</v>
      </c>
    </row>
    <row r="104" spans="1:4" x14ac:dyDescent="0.25">
      <c r="A104">
        <f>IF('Labeled Data'!J104=1, 1, "")</f>
        <v>1</v>
      </c>
      <c r="B104" s="5">
        <v>102</v>
      </c>
      <c r="C104" t="s">
        <v>117</v>
      </c>
      <c r="D104" t="str">
        <f>IF('Labeled Data'!W104=1, 'Labeled Data'!Y104, "")</f>
        <v>trust</v>
      </c>
    </row>
    <row r="105" spans="1:4" x14ac:dyDescent="0.25">
      <c r="A105">
        <f>IF('Labeled Data'!J105=1, 1, "")</f>
        <v>1</v>
      </c>
      <c r="B105" s="5">
        <v>103</v>
      </c>
      <c r="C105" t="s">
        <v>118</v>
      </c>
      <c r="D105" t="str">
        <f>IF('Labeled Data'!W105=1, 'Labeled Data'!Y105, "")</f>
        <v>surprise</v>
      </c>
    </row>
    <row r="106" spans="1:4" x14ac:dyDescent="0.25">
      <c r="A106" t="str">
        <f>IF('Labeled Data'!J106=1, 1, "")</f>
        <v/>
      </c>
      <c r="B106" s="5">
        <v>104</v>
      </c>
      <c r="C106" t="s">
        <v>119</v>
      </c>
      <c r="D106" t="str">
        <f>IF('Labeled Data'!W106=1, 'Labeled Data'!Y106, "")</f>
        <v>sadness</v>
      </c>
    </row>
    <row r="107" spans="1:4" x14ac:dyDescent="0.25">
      <c r="A107" t="str">
        <f>IF('Labeled Data'!J107=1, 1, "")</f>
        <v/>
      </c>
      <c r="B107" s="5">
        <v>105</v>
      </c>
      <c r="C107" t="s">
        <v>120</v>
      </c>
      <c r="D107" t="str">
        <f>IF('Labeled Data'!W107=1, 'Labeled Data'!Y107, "")</f>
        <v>joy</v>
      </c>
    </row>
    <row r="108" spans="1:4" x14ac:dyDescent="0.25">
      <c r="A108" t="str">
        <f>IF('Labeled Data'!J108=1, 1, "")</f>
        <v/>
      </c>
      <c r="B108" s="5">
        <v>106</v>
      </c>
      <c r="C108" t="s">
        <v>121</v>
      </c>
      <c r="D108" t="str">
        <f>IF('Labeled Data'!W108=1, 'Labeled Data'!Y108, "")</f>
        <v>joy</v>
      </c>
    </row>
    <row r="109" spans="1:4" x14ac:dyDescent="0.25">
      <c r="A109" t="str">
        <f>IF('Labeled Data'!J109=1, 1, "")</f>
        <v/>
      </c>
      <c r="B109" s="5">
        <v>107</v>
      </c>
      <c r="C109" t="s">
        <v>122</v>
      </c>
      <c r="D109" t="str">
        <f>IF('Labeled Data'!W109=1, 'Labeled Data'!Y109, "")</f>
        <v>trust</v>
      </c>
    </row>
    <row r="110" spans="1:4" x14ac:dyDescent="0.25">
      <c r="A110">
        <f>IF('Labeled Data'!J110=1, 1, "")</f>
        <v>1</v>
      </c>
      <c r="B110" s="5">
        <v>108</v>
      </c>
      <c r="C110" t="s">
        <v>123</v>
      </c>
      <c r="D110" t="str">
        <f>IF('Labeled Data'!W110=1, 'Labeled Data'!Y110, "")</f>
        <v>fear</v>
      </c>
    </row>
    <row r="111" spans="1:4" x14ac:dyDescent="0.25">
      <c r="A111">
        <f>IF('Labeled Data'!J111=1, 1, "")</f>
        <v>1</v>
      </c>
      <c r="B111" s="5">
        <v>109</v>
      </c>
      <c r="C111" t="s">
        <v>124</v>
      </c>
      <c r="D111" t="str">
        <f>IF('Labeled Data'!W111=1, 'Labeled Data'!Y111, "")</f>
        <v>fear</v>
      </c>
    </row>
    <row r="112" spans="1:4" x14ac:dyDescent="0.25">
      <c r="A112" t="str">
        <f>IF('Labeled Data'!J112=1, 1, "")</f>
        <v/>
      </c>
      <c r="B112" s="5">
        <v>110</v>
      </c>
      <c r="C112" t="s">
        <v>125</v>
      </c>
      <c r="D112" t="str">
        <f>IF('Labeled Data'!W112=1, 'Labeled Data'!Y112, "")</f>
        <v>trust</v>
      </c>
    </row>
    <row r="113" spans="1:4" x14ac:dyDescent="0.25">
      <c r="A113">
        <f>IF('Labeled Data'!J113=1, 1, "")</f>
        <v>1</v>
      </c>
      <c r="B113" s="5">
        <v>111</v>
      </c>
      <c r="C113" t="s">
        <v>126</v>
      </c>
      <c r="D113" t="str">
        <f>IF('Labeled Data'!W113=1, 'Labeled Data'!Y113, "")</f>
        <v>trust</v>
      </c>
    </row>
    <row r="114" spans="1:4" x14ac:dyDescent="0.25">
      <c r="A114" t="str">
        <f>IF('Labeled Data'!J114=1, 1, "")</f>
        <v/>
      </c>
      <c r="B114" s="5">
        <v>112</v>
      </c>
      <c r="C114" t="s">
        <v>127</v>
      </c>
      <c r="D114" t="str">
        <f>IF('Labeled Data'!W114=1, 'Labeled Data'!Y114, "")</f>
        <v>joy</v>
      </c>
    </row>
    <row r="115" spans="1:4" x14ac:dyDescent="0.25">
      <c r="A115">
        <f>IF('Labeled Data'!J115=1, 1, "")</f>
        <v>1</v>
      </c>
      <c r="B115" s="5">
        <v>113</v>
      </c>
      <c r="C115" t="s">
        <v>128</v>
      </c>
      <c r="D115" t="str">
        <f>IF('Labeled Data'!W115=1, 'Labeled Data'!Y115, "")</f>
        <v>anticipation</v>
      </c>
    </row>
    <row r="116" spans="1:4" x14ac:dyDescent="0.25">
      <c r="A116">
        <f>IF('Labeled Data'!J116=1, 1, "")</f>
        <v>1</v>
      </c>
      <c r="B116" s="5">
        <v>114</v>
      </c>
      <c r="C116" t="s">
        <v>129</v>
      </c>
      <c r="D116" t="str">
        <f>IF('Labeled Data'!W116=1, 'Labeled Data'!Y116, "")</f>
        <v>anger</v>
      </c>
    </row>
    <row r="117" spans="1:4" x14ac:dyDescent="0.25">
      <c r="A117">
        <f>IF('Labeled Data'!J117=1, 1, "")</f>
        <v>1</v>
      </c>
      <c r="B117" s="5">
        <v>115</v>
      </c>
      <c r="C117" t="s">
        <v>130</v>
      </c>
      <c r="D117" t="str">
        <f>IF('Labeled Data'!W117=1, 'Labeled Data'!Y117, "")</f>
        <v>AMBIGUOUS</v>
      </c>
    </row>
    <row r="118" spans="1:4" x14ac:dyDescent="0.25">
      <c r="A118">
        <f>IF('Labeled Data'!J118=1, 1, "")</f>
        <v>1</v>
      </c>
      <c r="B118" s="5">
        <v>116</v>
      </c>
      <c r="C118" t="s">
        <v>131</v>
      </c>
      <c r="D118" t="str">
        <f>IF('Labeled Data'!W118=1, 'Labeled Data'!Y118, "")</f>
        <v>AMBIGUOUS</v>
      </c>
    </row>
    <row r="119" spans="1:4" x14ac:dyDescent="0.25">
      <c r="A119" t="str">
        <f>IF('Labeled Data'!J119=1, 1, "")</f>
        <v/>
      </c>
      <c r="B119" s="5">
        <v>117</v>
      </c>
      <c r="C119" t="s">
        <v>132</v>
      </c>
      <c r="D119" t="str">
        <f>IF('Labeled Data'!W119=1, 'Labeled Data'!Y119, "")</f>
        <v>trust</v>
      </c>
    </row>
    <row r="120" spans="1:4" x14ac:dyDescent="0.25">
      <c r="A120" t="str">
        <f>IF('Labeled Data'!J120=1, 1, "")</f>
        <v/>
      </c>
      <c r="B120" s="5">
        <v>118</v>
      </c>
      <c r="C120" t="s">
        <v>133</v>
      </c>
      <c r="D120" t="str">
        <f>IF('Labeled Data'!W120=1, 'Labeled Data'!Y120, "")</f>
        <v>joy</v>
      </c>
    </row>
    <row r="121" spans="1:4" x14ac:dyDescent="0.25">
      <c r="A121">
        <f>IF('Labeled Data'!J121=1, 1, "")</f>
        <v>1</v>
      </c>
      <c r="B121" s="5">
        <v>119</v>
      </c>
      <c r="C121" t="s">
        <v>134</v>
      </c>
      <c r="D121" t="str">
        <f>IF('Labeled Data'!W121=1, 'Labeled Data'!Y121, "")</f>
        <v>disgust</v>
      </c>
    </row>
    <row r="122" spans="1:4" x14ac:dyDescent="0.25">
      <c r="A122" t="str">
        <f>IF('Labeled Data'!J122=1, 1, "")</f>
        <v/>
      </c>
      <c r="B122" s="5">
        <v>120</v>
      </c>
      <c r="C122" t="s">
        <v>135</v>
      </c>
      <c r="D122" t="str">
        <f>IF('Labeled Data'!W122=1, 'Labeled Data'!Y122, "")</f>
        <v>AMBIGUOUS</v>
      </c>
    </row>
    <row r="123" spans="1:4" x14ac:dyDescent="0.25">
      <c r="A123" t="str">
        <f>IF('Labeled Data'!J123=1, 1, "")</f>
        <v/>
      </c>
      <c r="B123" s="5">
        <v>121</v>
      </c>
      <c r="C123" t="s">
        <v>136</v>
      </c>
      <c r="D123" t="str">
        <f>IF('Labeled Data'!W123=1, 'Labeled Data'!Y123, "")</f>
        <v>joy</v>
      </c>
    </row>
    <row r="124" spans="1:4" x14ac:dyDescent="0.25">
      <c r="A124" t="str">
        <f>IF('Labeled Data'!J124=1, 1, "")</f>
        <v/>
      </c>
      <c r="B124" s="5">
        <v>122</v>
      </c>
      <c r="C124" t="s">
        <v>137</v>
      </c>
      <c r="D124" t="str">
        <f>IF('Labeled Data'!W124=1, 'Labeled Data'!Y124, "")</f>
        <v>joy</v>
      </c>
    </row>
    <row r="125" spans="1:4" x14ac:dyDescent="0.25">
      <c r="A125" t="str">
        <f>IF('Labeled Data'!J125=1, 1, "")</f>
        <v/>
      </c>
      <c r="B125" s="5">
        <v>123</v>
      </c>
      <c r="C125" t="s">
        <v>138</v>
      </c>
      <c r="D125" t="str">
        <f>IF('Labeled Data'!W125=1, 'Labeled Data'!Y125, "")</f>
        <v>trust</v>
      </c>
    </row>
    <row r="126" spans="1:4" x14ac:dyDescent="0.25">
      <c r="A126" t="str">
        <f>IF('Labeled Data'!J126=1, 1, "")</f>
        <v/>
      </c>
      <c r="B126" s="5">
        <v>124</v>
      </c>
      <c r="C126" t="s">
        <v>139</v>
      </c>
      <c r="D126" t="str">
        <f>IF('Labeled Data'!W126=1, 'Labeled Data'!Y126, "")</f>
        <v>anger</v>
      </c>
    </row>
    <row r="127" spans="1:4" x14ac:dyDescent="0.25">
      <c r="A127" t="str">
        <f>IF('Labeled Data'!J127=1, 1, "")</f>
        <v/>
      </c>
      <c r="B127" s="5">
        <v>125</v>
      </c>
      <c r="C127" t="s">
        <v>140</v>
      </c>
      <c r="D127" t="str">
        <f>IF('Labeled Data'!W127=1, 'Labeled Data'!Y127, "")</f>
        <v>fear</v>
      </c>
    </row>
    <row r="128" spans="1:4" x14ac:dyDescent="0.25">
      <c r="A128">
        <f>IF('Labeled Data'!J128=1, 1, "")</f>
        <v>1</v>
      </c>
      <c r="B128" s="5">
        <v>126</v>
      </c>
      <c r="C128" t="s">
        <v>141</v>
      </c>
      <c r="D128" t="str">
        <f>IF('Labeled Data'!W128=1, 'Labeled Data'!Y128, "")</f>
        <v>joy</v>
      </c>
    </row>
    <row r="129" spans="1:4" x14ac:dyDescent="0.25">
      <c r="A129">
        <f>IF('Labeled Data'!J129=1, 1, "")</f>
        <v>1</v>
      </c>
      <c r="B129" s="5">
        <v>127</v>
      </c>
      <c r="C129" t="s">
        <v>142</v>
      </c>
      <c r="D129" t="str">
        <f>IF('Labeled Data'!W129=1, 'Labeled Data'!Y129, "")</f>
        <v>anticipation</v>
      </c>
    </row>
    <row r="130" spans="1:4" x14ac:dyDescent="0.25">
      <c r="A130" t="str">
        <f>IF('Labeled Data'!J130=1, 1, "")</f>
        <v/>
      </c>
      <c r="B130" s="5">
        <v>128</v>
      </c>
      <c r="C130" t="s">
        <v>143</v>
      </c>
      <c r="D130" t="str">
        <f>IF('Labeled Data'!W130=1, 'Labeled Data'!Y130, "")</f>
        <v>trust</v>
      </c>
    </row>
    <row r="131" spans="1:4" x14ac:dyDescent="0.25">
      <c r="A131">
        <f>IF('Labeled Data'!J131=1, 1, "")</f>
        <v>1</v>
      </c>
      <c r="B131" s="5">
        <v>129</v>
      </c>
      <c r="C131" t="s">
        <v>144</v>
      </c>
      <c r="D131" t="str">
        <f>IF('Labeled Data'!W131=1, 'Labeled Data'!Y131, "")</f>
        <v>disgust</v>
      </c>
    </row>
    <row r="132" spans="1:4" x14ac:dyDescent="0.25">
      <c r="A132">
        <f>IF('Labeled Data'!J132=1, 1, "")</f>
        <v>1</v>
      </c>
      <c r="B132" s="5">
        <v>130</v>
      </c>
      <c r="C132" t="s">
        <v>145</v>
      </c>
      <c r="D132" t="str">
        <f>IF('Labeled Data'!W132=1, 'Labeled Data'!Y132, "")</f>
        <v>sadness</v>
      </c>
    </row>
    <row r="133" spans="1:4" x14ac:dyDescent="0.25">
      <c r="A133">
        <f>IF('Labeled Data'!J133=1, 1, "")</f>
        <v>1</v>
      </c>
      <c r="B133" s="5">
        <v>131</v>
      </c>
      <c r="C133" t="s">
        <v>146</v>
      </c>
      <c r="D133" t="str">
        <f>IF('Labeled Data'!W133=1, 'Labeled Data'!Y133, "")</f>
        <v>anger</v>
      </c>
    </row>
    <row r="134" spans="1:4" x14ac:dyDescent="0.25">
      <c r="A134">
        <f>IF('Labeled Data'!J134=1, 1, "")</f>
        <v>1</v>
      </c>
      <c r="B134" s="5">
        <v>132</v>
      </c>
      <c r="C134" t="s">
        <v>147</v>
      </c>
      <c r="D134" t="str">
        <f>IF('Labeled Data'!W134=1, 'Labeled Data'!Y134, "")</f>
        <v>sadness</v>
      </c>
    </row>
    <row r="135" spans="1:4" x14ac:dyDescent="0.25">
      <c r="A135" t="str">
        <f>IF('Labeled Data'!J135=1, 1, "")</f>
        <v/>
      </c>
      <c r="B135" s="5">
        <v>133</v>
      </c>
      <c r="C135" t="s">
        <v>148</v>
      </c>
      <c r="D135" t="str">
        <f>IF('Labeled Data'!W135=1, 'Labeled Data'!Y135, "")</f>
        <v>joy</v>
      </c>
    </row>
    <row r="136" spans="1:4" x14ac:dyDescent="0.25">
      <c r="A136" t="str">
        <f>IF('Labeled Data'!J136=1, 1, "")</f>
        <v/>
      </c>
      <c r="B136" s="5">
        <v>134</v>
      </c>
      <c r="C136" t="s">
        <v>149</v>
      </c>
      <c r="D136" t="str">
        <f>IF('Labeled Data'!W136=1, 'Labeled Data'!Y136, "")</f>
        <v>joy</v>
      </c>
    </row>
    <row r="137" spans="1:4" x14ac:dyDescent="0.25">
      <c r="A137">
        <f>IF('Labeled Data'!J137=1, 1, "")</f>
        <v>1</v>
      </c>
      <c r="B137" s="5">
        <v>135</v>
      </c>
      <c r="C137" t="s">
        <v>150</v>
      </c>
      <c r="D137" t="str">
        <f>IF('Labeled Data'!W137=1, 'Labeled Data'!Y137, "")</f>
        <v>anticipation</v>
      </c>
    </row>
    <row r="138" spans="1:4" x14ac:dyDescent="0.25">
      <c r="A138">
        <f>IF('Labeled Data'!J138=1, 1, "")</f>
        <v>1</v>
      </c>
      <c r="B138" s="5">
        <v>136</v>
      </c>
      <c r="C138" t="s">
        <v>151</v>
      </c>
      <c r="D138" t="str">
        <f>IF('Labeled Data'!W138=1, 'Labeled Data'!Y138, "")</f>
        <v>trust</v>
      </c>
    </row>
    <row r="139" spans="1:4" x14ac:dyDescent="0.25">
      <c r="A139">
        <f>IF('Labeled Data'!J139=1, 1, "")</f>
        <v>1</v>
      </c>
      <c r="B139" s="5">
        <v>137</v>
      </c>
      <c r="C139" t="s">
        <v>152</v>
      </c>
      <c r="D139" t="str">
        <f>IF('Labeled Data'!W139=1, 'Labeled Data'!Y139, "")</f>
        <v>anticipation</v>
      </c>
    </row>
    <row r="140" spans="1:4" x14ac:dyDescent="0.25">
      <c r="A140">
        <f>IF('Labeled Data'!J140=1, 1, "")</f>
        <v>1</v>
      </c>
      <c r="B140" s="5">
        <v>138</v>
      </c>
      <c r="C140" t="s">
        <v>153</v>
      </c>
      <c r="D140" t="str">
        <f>IF('Labeled Data'!W140=1, 'Labeled Data'!Y140, "")</f>
        <v>trust</v>
      </c>
    </row>
    <row r="141" spans="1:4" x14ac:dyDescent="0.25">
      <c r="A141">
        <f>IF('Labeled Data'!J141=1, 1, "")</f>
        <v>1</v>
      </c>
      <c r="B141" s="5">
        <v>139</v>
      </c>
      <c r="C141" t="s">
        <v>154</v>
      </c>
      <c r="D141" t="str">
        <f>IF('Labeled Data'!W141=1, 'Labeled Data'!Y141, "")</f>
        <v>fear</v>
      </c>
    </row>
    <row r="142" spans="1:4" x14ac:dyDescent="0.25">
      <c r="A142" t="str">
        <f>IF('Labeled Data'!J142=1, 1, "")</f>
        <v/>
      </c>
      <c r="B142" s="5">
        <v>140</v>
      </c>
      <c r="C142" t="s">
        <v>155</v>
      </c>
      <c r="D142" t="str">
        <f>IF('Labeled Data'!W142=1, 'Labeled Data'!Y142, "")</f>
        <v>joy</v>
      </c>
    </row>
    <row r="143" spans="1:4" x14ac:dyDescent="0.25">
      <c r="A143">
        <f>IF('Labeled Data'!J143=1, 1, "")</f>
        <v>1</v>
      </c>
      <c r="B143" s="5">
        <v>141</v>
      </c>
      <c r="C143" t="s">
        <v>156</v>
      </c>
      <c r="D143" t="str">
        <f>IF('Labeled Data'!W143=1, 'Labeled Data'!Y143, "")</f>
        <v>sadness</v>
      </c>
    </row>
    <row r="144" spans="1:4" x14ac:dyDescent="0.25">
      <c r="A144" t="str">
        <f>IF('Labeled Data'!J144=1, 1, "")</f>
        <v/>
      </c>
      <c r="B144" s="5">
        <v>142</v>
      </c>
      <c r="C144" t="s">
        <v>157</v>
      </c>
      <c r="D144" t="str">
        <f>IF('Labeled Data'!W144=1, 'Labeled Data'!Y144, "")</f>
        <v>joy</v>
      </c>
    </row>
    <row r="145" spans="1:4" x14ac:dyDescent="0.25">
      <c r="A145">
        <f>IF('Labeled Data'!J145=1, 1, "")</f>
        <v>1</v>
      </c>
      <c r="B145" s="5">
        <v>143</v>
      </c>
      <c r="C145" t="s">
        <v>158</v>
      </c>
      <c r="D145" t="str">
        <f>IF('Labeled Data'!W145=1, 'Labeled Data'!Y145, "")</f>
        <v>anticipation</v>
      </c>
    </row>
    <row r="146" spans="1:4" x14ac:dyDescent="0.25">
      <c r="A146">
        <f>IF('Labeled Data'!J146=1, 1, "")</f>
        <v>1</v>
      </c>
      <c r="B146" s="5">
        <v>144</v>
      </c>
      <c r="C146" t="s">
        <v>159</v>
      </c>
      <c r="D146" t="str">
        <f>IF('Labeled Data'!W146=1, 'Labeled Data'!Y146, "")</f>
        <v>sadness</v>
      </c>
    </row>
    <row r="147" spans="1:4" x14ac:dyDescent="0.25">
      <c r="A147" t="str">
        <f>IF('Labeled Data'!J147=1, 1, "")</f>
        <v/>
      </c>
      <c r="B147" s="5">
        <v>145</v>
      </c>
      <c r="C147" t="s">
        <v>160</v>
      </c>
      <c r="D147" t="str">
        <f>IF('Labeled Data'!W147=1, 'Labeled Data'!Y147, "")</f>
        <v>joy</v>
      </c>
    </row>
    <row r="148" spans="1:4" x14ac:dyDescent="0.25">
      <c r="A148" t="str">
        <f>IF('Labeled Data'!J148=1, 1, "")</f>
        <v/>
      </c>
      <c r="B148" s="5">
        <v>146</v>
      </c>
      <c r="C148" t="s">
        <v>161</v>
      </c>
      <c r="D148" t="str">
        <f>IF('Labeled Data'!W148=1, 'Labeled Data'!Y148, "")</f>
        <v>joy</v>
      </c>
    </row>
    <row r="149" spans="1:4" x14ac:dyDescent="0.25">
      <c r="A149" t="str">
        <f>IF('Labeled Data'!J149=1, 1, "")</f>
        <v/>
      </c>
      <c r="B149" s="5">
        <v>147</v>
      </c>
      <c r="C149" t="s">
        <v>162</v>
      </c>
      <c r="D149" t="str">
        <f>IF('Labeled Data'!W149=1, 'Labeled Data'!Y149, "")</f>
        <v>joy</v>
      </c>
    </row>
    <row r="150" spans="1:4" x14ac:dyDescent="0.25">
      <c r="A150" t="str">
        <f>IF('Labeled Data'!J150=1, 1, "")</f>
        <v/>
      </c>
      <c r="B150" s="5">
        <v>148</v>
      </c>
      <c r="C150" t="s">
        <v>163</v>
      </c>
      <c r="D150" t="str">
        <f>IF('Labeled Data'!W150=1, 'Labeled Data'!Y150, "")</f>
        <v>joy</v>
      </c>
    </row>
    <row r="151" spans="1:4" x14ac:dyDescent="0.25">
      <c r="A151" t="str">
        <f>IF('Labeled Data'!J151=1, 1, "")</f>
        <v/>
      </c>
      <c r="B151" s="5">
        <v>149</v>
      </c>
      <c r="C151" t="s">
        <v>164</v>
      </c>
      <c r="D151" t="str">
        <f>IF('Labeled Data'!W151=1, 'Labeled Data'!Y151, "")</f>
        <v>joy</v>
      </c>
    </row>
    <row r="152" spans="1:4" x14ac:dyDescent="0.25">
      <c r="A152">
        <f>IF('Labeled Data'!J152=1, 1, "")</f>
        <v>1</v>
      </c>
      <c r="B152" s="5">
        <v>150</v>
      </c>
      <c r="C152" t="s">
        <v>165</v>
      </c>
      <c r="D152" t="str">
        <f>IF('Labeled Data'!W152=1, 'Labeled Data'!Y152, "")</f>
        <v>joy</v>
      </c>
    </row>
    <row r="153" spans="1:4" x14ac:dyDescent="0.25">
      <c r="A153" t="str">
        <f>IF('Labeled Data'!J153=1, 1, "")</f>
        <v/>
      </c>
      <c r="B153" s="5">
        <v>151</v>
      </c>
      <c r="C153" t="s">
        <v>166</v>
      </c>
      <c r="D153" t="str">
        <f>IF('Labeled Data'!W153=1, 'Labeled Data'!Y153, "")</f>
        <v>joy</v>
      </c>
    </row>
    <row r="154" spans="1:4" x14ac:dyDescent="0.25">
      <c r="A154">
        <f>IF('Labeled Data'!J154=1, 1, "")</f>
        <v>1</v>
      </c>
      <c r="B154" s="5">
        <v>152</v>
      </c>
      <c r="C154" t="s">
        <v>167</v>
      </c>
      <c r="D154" t="str">
        <f>IF('Labeled Data'!W154=1, 'Labeled Data'!Y154, "")</f>
        <v>surprise</v>
      </c>
    </row>
    <row r="155" spans="1:4" x14ac:dyDescent="0.25">
      <c r="A155" t="str">
        <f>IF('Labeled Data'!J155=1, 1, "")</f>
        <v/>
      </c>
      <c r="B155" s="5">
        <v>153</v>
      </c>
      <c r="C155" t="s">
        <v>168</v>
      </c>
      <c r="D155" t="str">
        <f>IF('Labeled Data'!W155=1, 'Labeled Data'!Y155, "")</f>
        <v>fear</v>
      </c>
    </row>
    <row r="156" spans="1:4" x14ac:dyDescent="0.25">
      <c r="A156" t="str">
        <f>IF('Labeled Data'!J156=1, 1, "")</f>
        <v/>
      </c>
      <c r="B156" s="5">
        <v>154</v>
      </c>
      <c r="C156" t="s">
        <v>169</v>
      </c>
      <c r="D156" t="str">
        <f>IF('Labeled Data'!W156=1, 'Labeled Data'!Y156, "")</f>
        <v>fear</v>
      </c>
    </row>
    <row r="157" spans="1:4" x14ac:dyDescent="0.25">
      <c r="A157" t="str">
        <f>IF('Labeled Data'!J157=1, 1, "")</f>
        <v/>
      </c>
      <c r="B157" s="5">
        <v>155</v>
      </c>
      <c r="C157" t="s">
        <v>170</v>
      </c>
      <c r="D157" t="str">
        <f>IF('Labeled Data'!W157=1, 'Labeled Data'!Y157, "")</f>
        <v>joy</v>
      </c>
    </row>
    <row r="158" spans="1:4" x14ac:dyDescent="0.25">
      <c r="A158">
        <f>IF('Labeled Data'!J158=1, 1, "")</f>
        <v>1</v>
      </c>
      <c r="B158" s="5">
        <v>156</v>
      </c>
      <c r="C158" t="s">
        <v>171</v>
      </c>
      <c r="D158" t="str">
        <f>IF('Labeled Data'!W158=1, 'Labeled Data'!Y158, "")</f>
        <v>fear</v>
      </c>
    </row>
    <row r="159" spans="1:4" x14ac:dyDescent="0.25">
      <c r="A159" t="str">
        <f>IF('Labeled Data'!J159=1, 1, "")</f>
        <v/>
      </c>
      <c r="B159" s="5">
        <v>157</v>
      </c>
      <c r="C159" t="s">
        <v>172</v>
      </c>
      <c r="D159" t="str">
        <f>IF('Labeled Data'!W159=1, 'Labeled Data'!Y159, "")</f>
        <v>AMBIGUOUS</v>
      </c>
    </row>
    <row r="160" spans="1:4" x14ac:dyDescent="0.25">
      <c r="A160">
        <f>IF('Labeled Data'!J160=1, 1, "")</f>
        <v>1</v>
      </c>
      <c r="B160" s="5">
        <v>158</v>
      </c>
      <c r="C160" t="s">
        <v>173</v>
      </c>
      <c r="D160" t="str">
        <f>IF('Labeled Data'!W160=1, 'Labeled Data'!Y160, "")</f>
        <v>anticipation</v>
      </c>
    </row>
    <row r="161" spans="1:4" x14ac:dyDescent="0.25">
      <c r="A161">
        <f>IF('Labeled Data'!J161=1, 1, "")</f>
        <v>1</v>
      </c>
      <c r="B161" s="5">
        <v>159</v>
      </c>
      <c r="C161" t="s">
        <v>174</v>
      </c>
      <c r="D161" t="str">
        <f>IF('Labeled Data'!W161=1, 'Labeled Data'!Y161, "")</f>
        <v>fear</v>
      </c>
    </row>
    <row r="162" spans="1:4" x14ac:dyDescent="0.25">
      <c r="A162">
        <f>IF('Labeled Data'!J162=1, 1, "")</f>
        <v>1</v>
      </c>
      <c r="B162" s="5">
        <v>160</v>
      </c>
      <c r="C162" t="s">
        <v>175</v>
      </c>
      <c r="D162" t="str">
        <f>IF('Labeled Data'!W162=1, 'Labeled Data'!Y162, "")</f>
        <v>fear</v>
      </c>
    </row>
    <row r="163" spans="1:4" x14ac:dyDescent="0.25">
      <c r="A163" t="str">
        <f>IF('Labeled Data'!J163=1, 1, "")</f>
        <v/>
      </c>
      <c r="B163" s="5">
        <v>161</v>
      </c>
      <c r="C163" t="s">
        <v>176</v>
      </c>
      <c r="D163" t="str">
        <f>IF('Labeled Data'!W163=1, 'Labeled Data'!Y163, "")</f>
        <v>anger</v>
      </c>
    </row>
    <row r="164" spans="1:4" x14ac:dyDescent="0.25">
      <c r="A164" t="str">
        <f>IF('Labeled Data'!J164=1, 1, "")</f>
        <v/>
      </c>
      <c r="B164" s="5">
        <v>162</v>
      </c>
      <c r="C164" t="s">
        <v>177</v>
      </c>
      <c r="D164" t="str">
        <f>IF('Labeled Data'!W164=1, 'Labeled Data'!Y164, "")</f>
        <v>joy</v>
      </c>
    </row>
    <row r="165" spans="1:4" x14ac:dyDescent="0.25">
      <c r="A165">
        <f>IF('Labeled Data'!J165=1, 1, "")</f>
        <v>1</v>
      </c>
      <c r="B165" s="5">
        <v>163</v>
      </c>
      <c r="C165" t="s">
        <v>178</v>
      </c>
      <c r="D165" t="str">
        <f>IF('Labeled Data'!W165=1, 'Labeled Data'!Y165, "")</f>
        <v>surprise</v>
      </c>
    </row>
    <row r="166" spans="1:4" x14ac:dyDescent="0.25">
      <c r="A166">
        <f>IF('Labeled Data'!J166=1, 1, "")</f>
        <v>1</v>
      </c>
      <c r="B166" s="5">
        <v>164</v>
      </c>
      <c r="C166" t="s">
        <v>179</v>
      </c>
      <c r="D166" t="str">
        <f>IF('Labeled Data'!W166=1, 'Labeled Data'!Y166, "")</f>
        <v>sadness</v>
      </c>
    </row>
    <row r="167" spans="1:4" x14ac:dyDescent="0.25">
      <c r="A167">
        <f>IF('Labeled Data'!J167=1, 1, "")</f>
        <v>1</v>
      </c>
      <c r="B167" s="5">
        <v>165</v>
      </c>
      <c r="C167" t="s">
        <v>180</v>
      </c>
      <c r="D167" t="str">
        <f>IF('Labeled Data'!W167=1, 'Labeled Data'!Y167, "")</f>
        <v>surprise</v>
      </c>
    </row>
    <row r="168" spans="1:4" x14ac:dyDescent="0.25">
      <c r="A168">
        <f>IF('Labeled Data'!J168=1, 1, "")</f>
        <v>1</v>
      </c>
      <c r="B168" s="5">
        <v>166</v>
      </c>
      <c r="C168" t="s">
        <v>181</v>
      </c>
      <c r="D168" t="str">
        <f>IF('Labeled Data'!W168=1, 'Labeled Data'!Y168, "")</f>
        <v>fear</v>
      </c>
    </row>
    <row r="169" spans="1:4" x14ac:dyDescent="0.25">
      <c r="A169">
        <f>IF('Labeled Data'!J169=1, 1, "")</f>
        <v>1</v>
      </c>
      <c r="B169" s="5">
        <v>167</v>
      </c>
      <c r="C169" t="s">
        <v>182</v>
      </c>
      <c r="D169" t="str">
        <f>IF('Labeled Data'!W169=1, 'Labeled Data'!Y169, "")</f>
        <v>disgust</v>
      </c>
    </row>
    <row r="170" spans="1:4" x14ac:dyDescent="0.25">
      <c r="A170">
        <f>IF('Labeled Data'!J170=1, 1, "")</f>
        <v>1</v>
      </c>
      <c r="B170" s="5">
        <v>168</v>
      </c>
      <c r="C170" t="s">
        <v>183</v>
      </c>
      <c r="D170" t="str">
        <f>IF('Labeled Data'!W170=1, 'Labeled Data'!Y170, "")</f>
        <v>anticipation</v>
      </c>
    </row>
    <row r="171" spans="1:4" x14ac:dyDescent="0.25">
      <c r="A171">
        <f>IF('Labeled Data'!J171=1, 1, "")</f>
        <v>1</v>
      </c>
      <c r="B171" s="5">
        <v>169</v>
      </c>
      <c r="C171" t="s">
        <v>184</v>
      </c>
      <c r="D171" t="str">
        <f>IF('Labeled Data'!W171=1, 'Labeled Data'!Y171, "")</f>
        <v>surprise</v>
      </c>
    </row>
    <row r="172" spans="1:4" x14ac:dyDescent="0.25">
      <c r="A172">
        <f>IF('Labeled Data'!J172=1, 1, "")</f>
        <v>1</v>
      </c>
      <c r="B172" s="5">
        <v>170</v>
      </c>
      <c r="C172" t="s">
        <v>185</v>
      </c>
      <c r="D172" t="str">
        <f>IF('Labeled Data'!W172=1, 'Labeled Data'!Y172, "")</f>
        <v>sadness</v>
      </c>
    </row>
    <row r="173" spans="1:4" x14ac:dyDescent="0.25">
      <c r="A173">
        <f>IF('Labeled Data'!J173=1, 1, "")</f>
        <v>1</v>
      </c>
      <c r="B173" s="5">
        <v>171</v>
      </c>
      <c r="C173" t="s">
        <v>186</v>
      </c>
      <c r="D173" t="str">
        <f>IF('Labeled Data'!W173=1, 'Labeled Data'!Y173, "")</f>
        <v>surprise</v>
      </c>
    </row>
    <row r="174" spans="1:4" x14ac:dyDescent="0.25">
      <c r="A174" t="str">
        <f>IF('Labeled Data'!J174=1, 1, "")</f>
        <v/>
      </c>
      <c r="B174" s="5">
        <v>172</v>
      </c>
      <c r="C174" t="s">
        <v>187</v>
      </c>
      <c r="D174" t="str">
        <f>IF('Labeled Data'!W174=1, 'Labeled Data'!Y174, "")</f>
        <v>joy</v>
      </c>
    </row>
    <row r="175" spans="1:4" x14ac:dyDescent="0.25">
      <c r="A175" t="str">
        <f>IF('Labeled Data'!J175=1, 1, "")</f>
        <v/>
      </c>
      <c r="B175" s="5">
        <v>173</v>
      </c>
      <c r="C175" t="s">
        <v>188</v>
      </c>
      <c r="D175" t="str">
        <f>IF('Labeled Data'!W175=1, 'Labeled Data'!Y175, "")</f>
        <v>joy</v>
      </c>
    </row>
    <row r="176" spans="1:4" x14ac:dyDescent="0.25">
      <c r="A176" t="str">
        <f>IF('Labeled Data'!J176=1, 1, "")</f>
        <v/>
      </c>
      <c r="B176" s="5">
        <v>174</v>
      </c>
      <c r="C176" t="s">
        <v>189</v>
      </c>
      <c r="D176" t="str">
        <f>IF('Labeled Data'!W176=1, 'Labeled Data'!Y176, "")</f>
        <v>joy</v>
      </c>
    </row>
    <row r="177" spans="1:4" x14ac:dyDescent="0.25">
      <c r="A177">
        <f>IF('Labeled Data'!J177=1, 1, "")</f>
        <v>1</v>
      </c>
      <c r="B177" s="5">
        <v>175</v>
      </c>
      <c r="C177" t="s">
        <v>190</v>
      </c>
      <c r="D177" t="str">
        <f>IF('Labeled Data'!W177=1, 'Labeled Data'!Y177, "")</f>
        <v>trust</v>
      </c>
    </row>
    <row r="178" spans="1:4" x14ac:dyDescent="0.25">
      <c r="A178" t="str">
        <f>IF('Labeled Data'!J178=1, 1, "")</f>
        <v/>
      </c>
      <c r="B178" s="5">
        <v>176</v>
      </c>
      <c r="C178" t="s">
        <v>191</v>
      </c>
      <c r="D178" t="str">
        <f>IF('Labeled Data'!W178=1, 'Labeled Data'!Y178, "")</f>
        <v>joy</v>
      </c>
    </row>
    <row r="179" spans="1:4" x14ac:dyDescent="0.25">
      <c r="A179" t="str">
        <f>IF('Labeled Data'!J179=1, 1, "")</f>
        <v/>
      </c>
      <c r="B179" s="5">
        <v>177</v>
      </c>
      <c r="C179" t="s">
        <v>192</v>
      </c>
      <c r="D179" t="str">
        <f>IF('Labeled Data'!W179=1, 'Labeled Data'!Y179, "")</f>
        <v>joy</v>
      </c>
    </row>
    <row r="180" spans="1:4" x14ac:dyDescent="0.25">
      <c r="A180" t="str">
        <f>IF('Labeled Data'!J180=1, 1, "")</f>
        <v/>
      </c>
      <c r="B180" s="5">
        <v>178</v>
      </c>
      <c r="C180" t="s">
        <v>193</v>
      </c>
      <c r="D180" t="str">
        <f>IF('Labeled Data'!W180=1, 'Labeled Data'!Y180, "")</f>
        <v>joy</v>
      </c>
    </row>
    <row r="181" spans="1:4" x14ac:dyDescent="0.25">
      <c r="A181">
        <f>IF('Labeled Data'!J181=1, 1, "")</f>
        <v>1</v>
      </c>
      <c r="B181" s="5">
        <v>179</v>
      </c>
      <c r="C181" t="s">
        <v>194</v>
      </c>
      <c r="D181" t="str">
        <f>IF('Labeled Data'!W181=1, 'Labeled Data'!Y181, "")</f>
        <v>joy</v>
      </c>
    </row>
    <row r="182" spans="1:4" x14ac:dyDescent="0.25">
      <c r="A182" t="str">
        <f>IF('Labeled Data'!J182=1, 1, "")</f>
        <v/>
      </c>
      <c r="B182" s="5">
        <v>180</v>
      </c>
      <c r="C182" t="s">
        <v>195</v>
      </c>
      <c r="D182" t="str">
        <f>IF('Labeled Data'!W182=1, 'Labeled Data'!Y182, "")</f>
        <v>joy</v>
      </c>
    </row>
    <row r="183" spans="1:4" x14ac:dyDescent="0.25">
      <c r="A183" t="str">
        <f>IF('Labeled Data'!J183=1, 1, "")</f>
        <v/>
      </c>
      <c r="B183" s="5">
        <v>181</v>
      </c>
      <c r="C183" t="s">
        <v>196</v>
      </c>
      <c r="D183" t="str">
        <f>IF('Labeled Data'!W183=1, 'Labeled Data'!Y183, "")</f>
        <v>joy</v>
      </c>
    </row>
    <row r="184" spans="1:4" x14ac:dyDescent="0.25">
      <c r="A184" t="str">
        <f>IF('Labeled Data'!J184=1, 1, "")</f>
        <v/>
      </c>
      <c r="B184" s="5">
        <v>182</v>
      </c>
      <c r="C184" t="s">
        <v>197</v>
      </c>
      <c r="D184" t="str">
        <f>IF('Labeled Data'!W184=1, 'Labeled Data'!Y184, "")</f>
        <v>joy</v>
      </c>
    </row>
    <row r="185" spans="1:4" x14ac:dyDescent="0.25">
      <c r="A185" t="str">
        <f>IF('Labeled Data'!J185=1, 1, "")</f>
        <v/>
      </c>
      <c r="B185" s="5">
        <v>183</v>
      </c>
      <c r="C185" t="s">
        <v>198</v>
      </c>
      <c r="D185" t="str">
        <f>IF('Labeled Data'!W185=1, 'Labeled Data'!Y185, "")</f>
        <v>fear</v>
      </c>
    </row>
    <row r="186" spans="1:4" x14ac:dyDescent="0.25">
      <c r="A186">
        <f>IF('Labeled Data'!J186=1, 1, "")</f>
        <v>1</v>
      </c>
      <c r="B186" s="5">
        <v>184</v>
      </c>
      <c r="C186" t="s">
        <v>199</v>
      </c>
      <c r="D186" t="str">
        <f>IF('Labeled Data'!W186=1, 'Labeled Data'!Y186, "")</f>
        <v>anticipation</v>
      </c>
    </row>
    <row r="187" spans="1:4" x14ac:dyDescent="0.25">
      <c r="A187">
        <f>IF('Labeled Data'!J187=1, 1, "")</f>
        <v>1</v>
      </c>
      <c r="B187" s="5">
        <v>185</v>
      </c>
      <c r="C187" t="s">
        <v>200</v>
      </c>
      <c r="D187" t="str">
        <f>IF('Labeled Data'!W187=1, 'Labeled Data'!Y187, "")</f>
        <v>anticipation</v>
      </c>
    </row>
    <row r="188" spans="1:4" x14ac:dyDescent="0.25">
      <c r="A188">
        <f>IF('Labeled Data'!J188=1, 1, "")</f>
        <v>1</v>
      </c>
      <c r="B188" s="5">
        <v>186</v>
      </c>
      <c r="C188" t="s">
        <v>201</v>
      </c>
      <c r="D188" t="str">
        <f>IF('Labeled Data'!W188=1, 'Labeled Data'!Y188, "")</f>
        <v>joy</v>
      </c>
    </row>
    <row r="189" spans="1:4" x14ac:dyDescent="0.25">
      <c r="A189" t="str">
        <f>IF('Labeled Data'!J189=1, 1, "")</f>
        <v/>
      </c>
      <c r="B189" s="5">
        <v>187</v>
      </c>
      <c r="C189" t="s">
        <v>202</v>
      </c>
      <c r="D189" t="str">
        <f>IF('Labeled Data'!W189=1, 'Labeled Data'!Y189, "")</f>
        <v>joy</v>
      </c>
    </row>
    <row r="190" spans="1:4" x14ac:dyDescent="0.25">
      <c r="A190" t="str">
        <f>IF('Labeled Data'!J190=1, 1, "")</f>
        <v/>
      </c>
      <c r="B190" s="5">
        <v>188</v>
      </c>
      <c r="C190" t="s">
        <v>203</v>
      </c>
      <c r="D190" t="str">
        <f>IF('Labeled Data'!W190=1, 'Labeled Data'!Y190, "")</f>
        <v>fear</v>
      </c>
    </row>
    <row r="191" spans="1:4" x14ac:dyDescent="0.25">
      <c r="A191">
        <f>IF('Labeled Data'!J191=1, 1, "")</f>
        <v>1</v>
      </c>
      <c r="B191" s="5">
        <v>189</v>
      </c>
      <c r="C191" t="s">
        <v>204</v>
      </c>
      <c r="D191" t="str">
        <f>IF('Labeled Data'!W191=1, 'Labeled Data'!Y191, "")</f>
        <v>anticipation</v>
      </c>
    </row>
    <row r="192" spans="1:4" x14ac:dyDescent="0.25">
      <c r="A192">
        <f>IF('Labeled Data'!J192=1, 1, "")</f>
        <v>1</v>
      </c>
      <c r="B192" s="5">
        <v>190</v>
      </c>
      <c r="C192" t="s">
        <v>205</v>
      </c>
      <c r="D192" t="str">
        <f>IF('Labeled Data'!W192=1, 'Labeled Data'!Y192, "")</f>
        <v>trust</v>
      </c>
    </row>
    <row r="193" spans="1:4" x14ac:dyDescent="0.25">
      <c r="A193" t="str">
        <f>IF('Labeled Data'!J193=1, 1, "")</f>
        <v/>
      </c>
      <c r="B193" s="5">
        <v>191</v>
      </c>
      <c r="C193" t="s">
        <v>206</v>
      </c>
      <c r="D193" t="str">
        <f>IF('Labeled Data'!W193=1, 'Labeled Data'!Y193, "")</f>
        <v>joy</v>
      </c>
    </row>
    <row r="194" spans="1:4" x14ac:dyDescent="0.25">
      <c r="A194">
        <f>IF('Labeled Data'!J194=1, 1, "")</f>
        <v>1</v>
      </c>
      <c r="B194" s="5">
        <v>192</v>
      </c>
      <c r="C194" t="s">
        <v>207</v>
      </c>
      <c r="D194" t="str">
        <f>IF('Labeled Data'!W194=1, 'Labeled Data'!Y194, "")</f>
        <v>surprise</v>
      </c>
    </row>
    <row r="195" spans="1:4" x14ac:dyDescent="0.25">
      <c r="A195" t="str">
        <f>IF('Labeled Data'!J195=1, 1, "")</f>
        <v/>
      </c>
      <c r="B195" s="5">
        <v>193</v>
      </c>
      <c r="C195" t="s">
        <v>208</v>
      </c>
      <c r="D195" t="str">
        <f>IF('Labeled Data'!W195=1, 'Labeled Data'!Y195, "")</f>
        <v>AMBIGUOUS</v>
      </c>
    </row>
    <row r="196" spans="1:4" x14ac:dyDescent="0.25">
      <c r="A196">
        <f>IF('Labeled Data'!J196=1, 1, "")</f>
        <v>1</v>
      </c>
      <c r="B196" s="5">
        <v>194</v>
      </c>
      <c r="C196" t="s">
        <v>209</v>
      </c>
      <c r="D196" t="str">
        <f>IF('Labeled Data'!W196=1, 'Labeled Data'!Y196, "")</f>
        <v>anticipation</v>
      </c>
    </row>
    <row r="197" spans="1:4" x14ac:dyDescent="0.25">
      <c r="A197">
        <f>IF('Labeled Data'!J197=1, 1, "")</f>
        <v>1</v>
      </c>
      <c r="B197" s="5">
        <v>195</v>
      </c>
      <c r="C197" t="s">
        <v>210</v>
      </c>
      <c r="D197" t="str">
        <f>IF('Labeled Data'!W197=1, 'Labeled Data'!Y197, "")</f>
        <v>joy</v>
      </c>
    </row>
    <row r="198" spans="1:4" x14ac:dyDescent="0.25">
      <c r="A198">
        <f>IF('Labeled Data'!J198=1, 1, "")</f>
        <v>1</v>
      </c>
      <c r="B198" s="5">
        <v>196</v>
      </c>
      <c r="C198" t="s">
        <v>211</v>
      </c>
      <c r="D198" t="str">
        <f>IF('Labeled Data'!W198=1, 'Labeled Data'!Y198, "")</f>
        <v>disgust</v>
      </c>
    </row>
    <row r="199" spans="1:4" x14ac:dyDescent="0.25">
      <c r="A199">
        <f>IF('Labeled Data'!J199=1, 1, "")</f>
        <v>1</v>
      </c>
      <c r="B199" s="5">
        <v>197</v>
      </c>
      <c r="C199" t="s">
        <v>212</v>
      </c>
      <c r="D199" t="str">
        <f>IF('Labeled Data'!W199=1, 'Labeled Data'!Y199, "")</f>
        <v>trust</v>
      </c>
    </row>
    <row r="200" spans="1:4" x14ac:dyDescent="0.25">
      <c r="A200">
        <f>IF('Labeled Data'!J200=1, 1, "")</f>
        <v>1</v>
      </c>
      <c r="B200" s="5">
        <v>198</v>
      </c>
      <c r="C200" t="s">
        <v>213</v>
      </c>
      <c r="D200" t="str">
        <f>IF('Labeled Data'!W200=1, 'Labeled Data'!Y200, "")</f>
        <v>anticipation</v>
      </c>
    </row>
    <row r="201" spans="1:4" x14ac:dyDescent="0.25">
      <c r="A201">
        <f>IF('Labeled Data'!J201=1, 1, "")</f>
        <v>1</v>
      </c>
      <c r="B201" s="5">
        <v>199</v>
      </c>
      <c r="C201" t="s">
        <v>214</v>
      </c>
      <c r="D201" t="str">
        <f>IF('Labeled Data'!W201=1, 'Labeled Data'!Y201, "")</f>
        <v>AMBIGUOUS</v>
      </c>
    </row>
    <row r="202" spans="1:4" x14ac:dyDescent="0.25">
      <c r="A202" t="str">
        <f>IF('Labeled Data'!J202=1, 1, "")</f>
        <v/>
      </c>
      <c r="B202" s="5">
        <v>200</v>
      </c>
      <c r="C202" t="s">
        <v>215</v>
      </c>
      <c r="D202" t="str">
        <f>IF('Labeled Data'!W202=1, 'Labeled Data'!Y202, "")</f>
        <v>fear</v>
      </c>
    </row>
    <row r="203" spans="1:4" x14ac:dyDescent="0.25">
      <c r="A203" t="str">
        <f>IF('Labeled Data'!J203=1, 1, "")</f>
        <v/>
      </c>
      <c r="B203" s="5">
        <v>201</v>
      </c>
      <c r="C203" t="s">
        <v>216</v>
      </c>
      <c r="D203" t="str">
        <f>IF('Labeled Data'!W203=1, 'Labeled Data'!Y203, "")</f>
        <v>disgust</v>
      </c>
    </row>
    <row r="204" spans="1:4" x14ac:dyDescent="0.25">
      <c r="A204" t="str">
        <f>IF('Labeled Data'!J204=1, 1, "")</f>
        <v/>
      </c>
      <c r="B204" s="5">
        <v>202</v>
      </c>
      <c r="C204" t="s">
        <v>217</v>
      </c>
      <c r="D204" t="str">
        <f>IF('Labeled Data'!W204=1, 'Labeled Data'!Y204, "")</f>
        <v>fear</v>
      </c>
    </row>
    <row r="205" spans="1:4" x14ac:dyDescent="0.25">
      <c r="A205" t="str">
        <f>IF('Labeled Data'!J205=1, 1, "")</f>
        <v/>
      </c>
      <c r="B205" s="5">
        <v>203</v>
      </c>
      <c r="C205" t="s">
        <v>218</v>
      </c>
      <c r="D205" t="str">
        <f>IF('Labeled Data'!W205=1, 'Labeled Data'!Y205, "")</f>
        <v>joy</v>
      </c>
    </row>
    <row r="206" spans="1:4" x14ac:dyDescent="0.25">
      <c r="A206">
        <f>IF('Labeled Data'!J206=1, 1, "")</f>
        <v>1</v>
      </c>
      <c r="B206" s="5">
        <v>204</v>
      </c>
      <c r="C206" t="s">
        <v>219</v>
      </c>
      <c r="D206" t="str">
        <f>IF('Labeled Data'!W206=1, 'Labeled Data'!Y206, "")</f>
        <v>joy</v>
      </c>
    </row>
    <row r="207" spans="1:4" x14ac:dyDescent="0.25">
      <c r="A207" t="str">
        <f>IF('Labeled Data'!J207=1, 1, "")</f>
        <v/>
      </c>
      <c r="B207" s="5">
        <v>205</v>
      </c>
      <c r="C207" t="s">
        <v>220</v>
      </c>
      <c r="D207" t="str">
        <f>IF('Labeled Data'!W207=1, 'Labeled Data'!Y207, "")</f>
        <v>joy</v>
      </c>
    </row>
    <row r="208" spans="1:4" x14ac:dyDescent="0.25">
      <c r="A208" t="str">
        <f>IF('Labeled Data'!J208=1, 1, "")</f>
        <v/>
      </c>
      <c r="B208" s="5">
        <v>206</v>
      </c>
      <c r="C208" t="s">
        <v>221</v>
      </c>
      <c r="D208" t="str">
        <f>IF('Labeled Data'!W208=1, 'Labeled Data'!Y208, "")</f>
        <v>trust</v>
      </c>
    </row>
    <row r="209" spans="1:4" x14ac:dyDescent="0.25">
      <c r="A209" t="str">
        <f>IF('Labeled Data'!J209=1, 1, "")</f>
        <v/>
      </c>
      <c r="B209" s="5">
        <v>207</v>
      </c>
      <c r="C209" t="s">
        <v>222</v>
      </c>
      <c r="D209" t="str">
        <f>IF('Labeled Data'!W209=1, 'Labeled Data'!Y209, "")</f>
        <v>AMBIGUOUS</v>
      </c>
    </row>
    <row r="210" spans="1:4" x14ac:dyDescent="0.25">
      <c r="A210" t="str">
        <f>IF('Labeled Data'!J210=1, 1, "")</f>
        <v/>
      </c>
      <c r="B210" s="5">
        <v>208</v>
      </c>
      <c r="C210" t="s">
        <v>223</v>
      </c>
      <c r="D210" t="str">
        <f>IF('Labeled Data'!W210=1, 'Labeled Data'!Y210, "")</f>
        <v>AMBIGUOUS</v>
      </c>
    </row>
    <row r="211" spans="1:4" x14ac:dyDescent="0.25">
      <c r="A211">
        <f>IF('Labeled Data'!J211=1, 1, "")</f>
        <v>1</v>
      </c>
      <c r="B211" s="5">
        <v>209</v>
      </c>
      <c r="C211" t="s">
        <v>224</v>
      </c>
      <c r="D211" t="str">
        <f>IF('Labeled Data'!W211=1, 'Labeled Data'!Y211, "")</f>
        <v>AMBIGUOUS</v>
      </c>
    </row>
    <row r="212" spans="1:4" x14ac:dyDescent="0.25">
      <c r="A212" t="str">
        <f>IF('Labeled Data'!J212=1, 1, "")</f>
        <v/>
      </c>
      <c r="B212" s="5">
        <v>210</v>
      </c>
      <c r="C212" t="s">
        <v>225</v>
      </c>
      <c r="D212" t="str">
        <f>IF('Labeled Data'!W212=1, 'Labeled Data'!Y212, "")</f>
        <v>trust</v>
      </c>
    </row>
    <row r="213" spans="1:4" x14ac:dyDescent="0.25">
      <c r="A213">
        <f>IF('Labeled Data'!J213=1, 1, "")</f>
        <v>1</v>
      </c>
      <c r="B213" s="5">
        <v>211</v>
      </c>
      <c r="C213" t="s">
        <v>226</v>
      </c>
      <c r="D213" t="str">
        <f>IF('Labeled Data'!W213=1, 'Labeled Data'!Y213, "")</f>
        <v>joy</v>
      </c>
    </row>
    <row r="214" spans="1:4" x14ac:dyDescent="0.25">
      <c r="A214" t="str">
        <f>IF('Labeled Data'!J214=1, 1, "")</f>
        <v/>
      </c>
      <c r="B214" s="5">
        <v>212</v>
      </c>
      <c r="C214" t="s">
        <v>227</v>
      </c>
      <c r="D214" t="str">
        <f>IF('Labeled Data'!W214=1, 'Labeled Data'!Y214, "")</f>
        <v>AMBIGUOUS</v>
      </c>
    </row>
    <row r="215" spans="1:4" x14ac:dyDescent="0.25">
      <c r="A215">
        <f>IF('Labeled Data'!J215=1, 1, "")</f>
        <v>1</v>
      </c>
      <c r="B215" s="5">
        <v>213</v>
      </c>
      <c r="C215" t="s">
        <v>228</v>
      </c>
      <c r="D215" t="str">
        <f>IF('Labeled Data'!W215=1, 'Labeled Data'!Y215, "")</f>
        <v>sadness</v>
      </c>
    </row>
    <row r="216" spans="1:4" x14ac:dyDescent="0.25">
      <c r="A216" t="str">
        <f>IF('Labeled Data'!J216=1, 1, "")</f>
        <v/>
      </c>
      <c r="B216" s="5">
        <v>214</v>
      </c>
      <c r="C216" t="s">
        <v>229</v>
      </c>
      <c r="D216" t="str">
        <f>IF('Labeled Data'!W216=1, 'Labeled Data'!Y216, "")</f>
        <v>fear</v>
      </c>
    </row>
    <row r="217" spans="1:4" x14ac:dyDescent="0.25">
      <c r="A217" t="str">
        <f>IF('Labeled Data'!J217=1, 1, "")</f>
        <v/>
      </c>
      <c r="B217" s="5">
        <v>215</v>
      </c>
      <c r="C217" t="s">
        <v>230</v>
      </c>
      <c r="D217" t="str">
        <f>IF('Labeled Data'!W217=1, 'Labeled Data'!Y217, "")</f>
        <v>sadness</v>
      </c>
    </row>
    <row r="218" spans="1:4" x14ac:dyDescent="0.25">
      <c r="A218" t="str">
        <f>IF('Labeled Data'!J218=1, 1, "")</f>
        <v/>
      </c>
      <c r="B218" s="5">
        <v>216</v>
      </c>
      <c r="C218" t="s">
        <v>231</v>
      </c>
      <c r="D218" t="str">
        <f>IF('Labeled Data'!W218=1, 'Labeled Data'!Y218, "")</f>
        <v>sadness</v>
      </c>
    </row>
    <row r="219" spans="1:4" x14ac:dyDescent="0.25">
      <c r="A219" t="str">
        <f>IF('Labeled Data'!J219=1, 1, "")</f>
        <v/>
      </c>
      <c r="B219" s="5">
        <v>217</v>
      </c>
      <c r="C219" t="s">
        <v>232</v>
      </c>
      <c r="D219" t="str">
        <f>IF('Labeled Data'!W219=1, 'Labeled Data'!Y219, "")</f>
        <v>joy</v>
      </c>
    </row>
    <row r="220" spans="1:4" x14ac:dyDescent="0.25">
      <c r="A220">
        <f>IF('Labeled Data'!J220=1, 1, "")</f>
        <v>1</v>
      </c>
      <c r="B220" s="5">
        <v>218</v>
      </c>
      <c r="C220" t="s">
        <v>233</v>
      </c>
      <c r="D220" t="str">
        <f>IF('Labeled Data'!W220=1, 'Labeled Data'!Y220, "")</f>
        <v>joy</v>
      </c>
    </row>
    <row r="221" spans="1:4" x14ac:dyDescent="0.25">
      <c r="A221">
        <f>IF('Labeled Data'!J221=1, 1, "")</f>
        <v>1</v>
      </c>
      <c r="B221" s="5">
        <v>219</v>
      </c>
      <c r="C221" t="s">
        <v>234</v>
      </c>
      <c r="D221" t="str">
        <f>IF('Labeled Data'!W221=1, 'Labeled Data'!Y221, "")</f>
        <v>anticipation</v>
      </c>
    </row>
    <row r="222" spans="1:4" x14ac:dyDescent="0.25">
      <c r="A222" t="str">
        <f>IF('Labeled Data'!J222=1, 1, "")</f>
        <v/>
      </c>
      <c r="B222" s="5">
        <v>220</v>
      </c>
      <c r="C222" t="s">
        <v>235</v>
      </c>
      <c r="D222" t="str">
        <f>IF('Labeled Data'!W222=1, 'Labeled Data'!Y222, "")</f>
        <v>joy</v>
      </c>
    </row>
    <row r="223" spans="1:4" x14ac:dyDescent="0.25">
      <c r="A223">
        <f>IF('Labeled Data'!J223=1, 1, "")</f>
        <v>1</v>
      </c>
      <c r="B223" s="5">
        <v>221</v>
      </c>
      <c r="C223" t="s">
        <v>236</v>
      </c>
      <c r="D223" t="str">
        <f>IF('Labeled Data'!W223=1, 'Labeled Data'!Y223, "")</f>
        <v>disgust</v>
      </c>
    </row>
    <row r="224" spans="1:4" x14ac:dyDescent="0.25">
      <c r="A224">
        <f>IF('Labeled Data'!J224=1, 1, "")</f>
        <v>1</v>
      </c>
      <c r="B224" s="5">
        <v>222</v>
      </c>
      <c r="C224" t="s">
        <v>237</v>
      </c>
      <c r="D224" t="str">
        <f>IF('Labeled Data'!W224=1, 'Labeled Data'!Y224, "")</f>
        <v>trust</v>
      </c>
    </row>
    <row r="225" spans="1:4" x14ac:dyDescent="0.25">
      <c r="A225" t="str">
        <f>IF('Labeled Data'!J225=1, 1, "")</f>
        <v/>
      </c>
      <c r="B225" s="5">
        <v>223</v>
      </c>
      <c r="C225" t="s">
        <v>238</v>
      </c>
      <c r="D225" t="str">
        <f>IF('Labeled Data'!W225=1, 'Labeled Data'!Y225, "")</f>
        <v>fear</v>
      </c>
    </row>
    <row r="226" spans="1:4" x14ac:dyDescent="0.25">
      <c r="A226">
        <f>IF('Labeled Data'!J226=1, 1, "")</f>
        <v>1</v>
      </c>
      <c r="B226" s="5">
        <v>224</v>
      </c>
      <c r="C226" t="s">
        <v>239</v>
      </c>
      <c r="D226" t="str">
        <f>IF('Labeled Data'!W226=1, 'Labeled Data'!Y226, "")</f>
        <v>anger</v>
      </c>
    </row>
    <row r="227" spans="1:4" x14ac:dyDescent="0.25">
      <c r="A227">
        <f>IF('Labeled Data'!J227=1, 1, "")</f>
        <v>1</v>
      </c>
      <c r="B227" s="5">
        <v>225</v>
      </c>
      <c r="C227" t="s">
        <v>240</v>
      </c>
      <c r="D227" t="str">
        <f>IF('Labeled Data'!W227=1, 'Labeled Data'!Y227, "")</f>
        <v>anger</v>
      </c>
    </row>
    <row r="228" spans="1:4" x14ac:dyDescent="0.25">
      <c r="A228">
        <f>IF('Labeled Data'!J228=1, 1, "")</f>
        <v>1</v>
      </c>
      <c r="B228" s="5">
        <v>226</v>
      </c>
      <c r="C228" t="s">
        <v>241</v>
      </c>
      <c r="D228" t="str">
        <f>IF('Labeled Data'!W228=1, 'Labeled Data'!Y228, "")</f>
        <v>anticipation</v>
      </c>
    </row>
    <row r="229" spans="1:4" x14ac:dyDescent="0.25">
      <c r="A229" t="str">
        <f>IF('Labeled Data'!J229=1, 1, "")</f>
        <v/>
      </c>
      <c r="B229" s="5">
        <v>227</v>
      </c>
      <c r="C229" t="s">
        <v>242</v>
      </c>
      <c r="D229" t="str">
        <f>IF('Labeled Data'!W229=1, 'Labeled Data'!Y229, "")</f>
        <v>trust</v>
      </c>
    </row>
    <row r="230" spans="1:4" x14ac:dyDescent="0.25">
      <c r="A230">
        <f>IF('Labeled Data'!J230=1, 1, "")</f>
        <v>1</v>
      </c>
      <c r="B230" s="5">
        <v>228</v>
      </c>
      <c r="C230" t="s">
        <v>243</v>
      </c>
      <c r="D230" t="str">
        <f>IF('Labeled Data'!W230=1, 'Labeled Data'!Y230, "")</f>
        <v>anticipation</v>
      </c>
    </row>
    <row r="231" spans="1:4" x14ac:dyDescent="0.25">
      <c r="A231">
        <f>IF('Labeled Data'!J231=1, 1, "")</f>
        <v>1</v>
      </c>
      <c r="B231" s="5">
        <v>229</v>
      </c>
      <c r="C231" t="s">
        <v>244</v>
      </c>
      <c r="D231" t="str">
        <f>IF('Labeled Data'!W231=1, 'Labeled Data'!Y231, "")</f>
        <v>trust</v>
      </c>
    </row>
    <row r="232" spans="1:4" x14ac:dyDescent="0.25">
      <c r="A232" t="str">
        <f>IF('Labeled Data'!J232=1, 1, "")</f>
        <v/>
      </c>
      <c r="B232" s="5">
        <v>230</v>
      </c>
      <c r="C232" t="s">
        <v>245</v>
      </c>
      <c r="D232" t="str">
        <f>IF('Labeled Data'!W232=1, 'Labeled Data'!Y232, "")</f>
        <v>trust</v>
      </c>
    </row>
    <row r="233" spans="1:4" x14ac:dyDescent="0.25">
      <c r="A233">
        <f>IF('Labeled Data'!J233=1, 1, "")</f>
        <v>1</v>
      </c>
      <c r="B233" s="5">
        <v>231</v>
      </c>
      <c r="C233" t="s">
        <v>246</v>
      </c>
      <c r="D233" t="str">
        <f>IF('Labeled Data'!W233=1, 'Labeled Data'!Y233, "")</f>
        <v>sadness</v>
      </c>
    </row>
    <row r="234" spans="1:4" x14ac:dyDescent="0.25">
      <c r="A234">
        <f>IF('Labeled Data'!J234=1, 1, "")</f>
        <v>1</v>
      </c>
      <c r="B234" s="5">
        <v>232</v>
      </c>
      <c r="C234" t="s">
        <v>247</v>
      </c>
      <c r="D234" t="str">
        <f>IF('Labeled Data'!W234=1, 'Labeled Data'!Y234, "")</f>
        <v>anticipation</v>
      </c>
    </row>
    <row r="235" spans="1:4" x14ac:dyDescent="0.25">
      <c r="A235" t="str">
        <f>IF('Labeled Data'!J235=1, 1, "")</f>
        <v/>
      </c>
      <c r="B235" s="5">
        <v>233</v>
      </c>
      <c r="C235" t="s">
        <v>248</v>
      </c>
      <c r="D235" t="str">
        <f>IF('Labeled Data'!W235=1, 'Labeled Data'!Y235, "")</f>
        <v>trust</v>
      </c>
    </row>
    <row r="236" spans="1:4" x14ac:dyDescent="0.25">
      <c r="A236">
        <f>IF('Labeled Data'!J236=1, 1, "")</f>
        <v>1</v>
      </c>
      <c r="B236" s="5">
        <v>234</v>
      </c>
      <c r="C236" t="s">
        <v>249</v>
      </c>
      <c r="D236" t="str">
        <f>IF('Labeled Data'!W236=1, 'Labeled Data'!Y236, "")</f>
        <v>joy</v>
      </c>
    </row>
    <row r="237" spans="1:4" x14ac:dyDescent="0.25">
      <c r="A237">
        <f>IF('Labeled Data'!J237=1, 1, "")</f>
        <v>1</v>
      </c>
      <c r="B237" s="5">
        <v>235</v>
      </c>
      <c r="C237" t="s">
        <v>250</v>
      </c>
      <c r="D237" t="str">
        <f>IF('Labeled Data'!W237=1, 'Labeled Data'!Y237, "")</f>
        <v>trust</v>
      </c>
    </row>
    <row r="238" spans="1:4" x14ac:dyDescent="0.25">
      <c r="A238">
        <f>IF('Labeled Data'!J238=1, 1, "")</f>
        <v>1</v>
      </c>
      <c r="B238" s="5">
        <v>236</v>
      </c>
      <c r="C238" t="s">
        <v>251</v>
      </c>
      <c r="D238" t="str">
        <f>IF('Labeled Data'!W238=1, 'Labeled Data'!Y238, "")</f>
        <v>trust</v>
      </c>
    </row>
    <row r="239" spans="1:4" x14ac:dyDescent="0.25">
      <c r="A239" t="str">
        <f>IF('Labeled Data'!J239=1, 1, "")</f>
        <v/>
      </c>
      <c r="B239" s="5">
        <v>237</v>
      </c>
      <c r="C239" t="s">
        <v>252</v>
      </c>
      <c r="D239" t="str">
        <f>IF('Labeled Data'!W239=1, 'Labeled Data'!Y239, "")</f>
        <v>fear</v>
      </c>
    </row>
    <row r="240" spans="1:4" x14ac:dyDescent="0.25">
      <c r="A240" t="str">
        <f>IF('Labeled Data'!J240=1, 1, "")</f>
        <v/>
      </c>
      <c r="B240" s="5">
        <v>238</v>
      </c>
      <c r="C240" t="s">
        <v>253</v>
      </c>
      <c r="D240" t="str">
        <f>IF('Labeled Data'!W240=1, 'Labeled Data'!Y240, "")</f>
        <v>trust</v>
      </c>
    </row>
    <row r="241" spans="1:4" x14ac:dyDescent="0.25">
      <c r="A241">
        <f>IF('Labeled Data'!J241=1, 1, "")</f>
        <v>1</v>
      </c>
      <c r="B241" s="5">
        <v>239</v>
      </c>
      <c r="C241" t="s">
        <v>254</v>
      </c>
      <c r="D241" t="str">
        <f>IF('Labeled Data'!W241=1, 'Labeled Data'!Y241, "")</f>
        <v>disgust</v>
      </c>
    </row>
    <row r="242" spans="1:4" x14ac:dyDescent="0.25">
      <c r="A242" t="str">
        <f>IF('Labeled Data'!J242=1, 1, "")</f>
        <v/>
      </c>
      <c r="B242" s="5">
        <v>240</v>
      </c>
      <c r="C242" t="s">
        <v>255</v>
      </c>
      <c r="D242" t="str">
        <f>IF('Labeled Data'!W242=1, 'Labeled Data'!Y242, "")</f>
        <v>AMBIGUOUS</v>
      </c>
    </row>
    <row r="243" spans="1:4" x14ac:dyDescent="0.25">
      <c r="A243">
        <f>IF('Labeled Data'!J243=1, 1, "")</f>
        <v>1</v>
      </c>
      <c r="B243" s="5">
        <v>241</v>
      </c>
      <c r="C243" t="s">
        <v>256</v>
      </c>
      <c r="D243" t="str">
        <f>IF('Labeled Data'!W243=1, 'Labeled Data'!Y243, "")</f>
        <v>fear</v>
      </c>
    </row>
    <row r="244" spans="1:4" x14ac:dyDescent="0.25">
      <c r="A244" t="str">
        <f>IF('Labeled Data'!J244=1, 1, "")</f>
        <v/>
      </c>
      <c r="B244" s="5">
        <v>242</v>
      </c>
      <c r="C244" t="s">
        <v>257</v>
      </c>
      <c r="D244" t="str">
        <f>IF('Labeled Data'!W244=1, 'Labeled Data'!Y244, "")</f>
        <v>surprise</v>
      </c>
    </row>
    <row r="245" spans="1:4" x14ac:dyDescent="0.25">
      <c r="A245">
        <f>IF('Labeled Data'!J245=1, 1, "")</f>
        <v>1</v>
      </c>
      <c r="B245" s="5">
        <v>243</v>
      </c>
      <c r="C245" t="s">
        <v>258</v>
      </c>
      <c r="D245" t="str">
        <f>IF('Labeled Data'!W245=1, 'Labeled Data'!Y245, "")</f>
        <v>trust</v>
      </c>
    </row>
    <row r="246" spans="1:4" x14ac:dyDescent="0.25">
      <c r="A246" t="str">
        <f>IF('Labeled Data'!J246=1, 1, "")</f>
        <v/>
      </c>
      <c r="B246" s="5">
        <v>244</v>
      </c>
      <c r="C246" t="s">
        <v>259</v>
      </c>
      <c r="D246" t="str">
        <f>IF('Labeled Data'!W246=1, 'Labeled Data'!Y246, "")</f>
        <v>joy</v>
      </c>
    </row>
    <row r="247" spans="1:4" x14ac:dyDescent="0.25">
      <c r="A247" t="str">
        <f>IF('Labeled Data'!J247=1, 1, "")</f>
        <v/>
      </c>
      <c r="B247" s="5">
        <v>245</v>
      </c>
      <c r="C247" t="s">
        <v>260</v>
      </c>
      <c r="D247" t="str">
        <f>IF('Labeled Data'!W247=1, 'Labeled Data'!Y247, "")</f>
        <v>trust</v>
      </c>
    </row>
    <row r="248" spans="1:4" x14ac:dyDescent="0.25">
      <c r="A248" t="str">
        <f>IF('Labeled Data'!J248=1, 1, "")</f>
        <v/>
      </c>
      <c r="B248" s="5">
        <v>246</v>
      </c>
      <c r="C248" t="s">
        <v>261</v>
      </c>
      <c r="D248" t="str">
        <f>IF('Labeled Data'!W248=1, 'Labeled Data'!Y248, "")</f>
        <v>trust</v>
      </c>
    </row>
    <row r="249" spans="1:4" x14ac:dyDescent="0.25">
      <c r="A249">
        <f>IF('Labeled Data'!J249=1, 1, "")</f>
        <v>1</v>
      </c>
      <c r="B249" s="5">
        <v>247</v>
      </c>
      <c r="C249" t="s">
        <v>262</v>
      </c>
      <c r="D249" t="str">
        <f>IF('Labeled Data'!W249=1, 'Labeled Data'!Y249, "")</f>
        <v>anger</v>
      </c>
    </row>
    <row r="250" spans="1:4" x14ac:dyDescent="0.25">
      <c r="A250">
        <f>IF('Labeled Data'!J250=1, 1, "")</f>
        <v>1</v>
      </c>
      <c r="B250" s="5">
        <v>248</v>
      </c>
      <c r="C250" t="s">
        <v>263</v>
      </c>
      <c r="D250" t="str">
        <f>IF('Labeled Data'!W250=1, 'Labeled Data'!Y250, "")</f>
        <v>disgust</v>
      </c>
    </row>
    <row r="251" spans="1:4" x14ac:dyDescent="0.25">
      <c r="A251" t="str">
        <f>IF('Labeled Data'!J251=1, 1, "")</f>
        <v/>
      </c>
      <c r="B251" s="5">
        <v>249</v>
      </c>
      <c r="C251" t="s">
        <v>264</v>
      </c>
      <c r="D251" t="str">
        <f>IF('Labeled Data'!W251=1, 'Labeled Data'!Y251, "")</f>
        <v>trust</v>
      </c>
    </row>
    <row r="252" spans="1:4" x14ac:dyDescent="0.25">
      <c r="A252" t="str">
        <f>IF('Labeled Data'!J252=1, 1, "")</f>
        <v/>
      </c>
      <c r="B252" s="5">
        <v>250</v>
      </c>
      <c r="C252" t="s">
        <v>265</v>
      </c>
      <c r="D252" t="str">
        <f>IF('Labeled Data'!W252=1, 'Labeled Data'!Y252, "")</f>
        <v>trust</v>
      </c>
    </row>
    <row r="253" spans="1:4" x14ac:dyDescent="0.25">
      <c r="A253" t="str">
        <f>IF('Labeled Data'!J253=1, 1, "")</f>
        <v/>
      </c>
      <c r="B253" s="5">
        <v>251</v>
      </c>
      <c r="C253" t="s">
        <v>266</v>
      </c>
      <c r="D253" t="str">
        <f>IF('Labeled Data'!W253=1, 'Labeled Data'!Y253, "")</f>
        <v>trust</v>
      </c>
    </row>
    <row r="254" spans="1:4" x14ac:dyDescent="0.25">
      <c r="A254" t="str">
        <f>IF('Labeled Data'!J254=1, 1, "")</f>
        <v/>
      </c>
      <c r="B254" s="5">
        <v>252</v>
      </c>
      <c r="C254" t="s">
        <v>267</v>
      </c>
      <c r="D254" t="str">
        <f>IF('Labeled Data'!W254=1, 'Labeled Data'!Y254, "")</f>
        <v>AMBIGUOUS</v>
      </c>
    </row>
    <row r="255" spans="1:4" x14ac:dyDescent="0.25">
      <c r="A255" t="str">
        <f>IF('Labeled Data'!J255=1, 1, "")</f>
        <v/>
      </c>
      <c r="B255" s="5">
        <v>253</v>
      </c>
      <c r="C255" t="s">
        <v>268</v>
      </c>
      <c r="D255" t="str">
        <f>IF('Labeled Data'!W255=1, 'Labeled Data'!Y255, "")</f>
        <v>joy</v>
      </c>
    </row>
    <row r="256" spans="1:4" x14ac:dyDescent="0.25">
      <c r="A256" t="str">
        <f>IF('Labeled Data'!J256=1, 1, "")</f>
        <v/>
      </c>
      <c r="B256" s="5">
        <v>254</v>
      </c>
      <c r="C256" t="s">
        <v>269</v>
      </c>
      <c r="D256" t="str">
        <f>IF('Labeled Data'!W256=1, 'Labeled Data'!Y256, "")</f>
        <v>trust</v>
      </c>
    </row>
    <row r="257" spans="1:4" x14ac:dyDescent="0.25">
      <c r="A257" t="str">
        <f>IF('Labeled Data'!J257=1, 1, "")</f>
        <v/>
      </c>
      <c r="B257" s="5">
        <v>255</v>
      </c>
      <c r="C257" t="s">
        <v>270</v>
      </c>
      <c r="D257" t="str">
        <f>IF('Labeled Data'!W257=1, 'Labeled Data'!Y257, "")</f>
        <v>trust</v>
      </c>
    </row>
    <row r="258" spans="1:4" x14ac:dyDescent="0.25">
      <c r="A258" t="str">
        <f>IF('Labeled Data'!J258=1, 1, "")</f>
        <v/>
      </c>
      <c r="B258" s="5">
        <v>256</v>
      </c>
      <c r="C258" t="s">
        <v>271</v>
      </c>
      <c r="D258" t="str">
        <f>IF('Labeled Data'!W258=1, 'Labeled Data'!Y258, "")</f>
        <v>AMBIGUOUS</v>
      </c>
    </row>
    <row r="259" spans="1:4" x14ac:dyDescent="0.25">
      <c r="A259" t="str">
        <f>IF('Labeled Data'!J259=1, 1, "")</f>
        <v/>
      </c>
      <c r="B259" s="5">
        <v>257</v>
      </c>
      <c r="C259" t="s">
        <v>272</v>
      </c>
      <c r="D259" t="str">
        <f>IF('Labeled Data'!W259=1, 'Labeled Data'!Y259, "")</f>
        <v>joy</v>
      </c>
    </row>
    <row r="260" spans="1:4" x14ac:dyDescent="0.25">
      <c r="A260" t="str">
        <f>IF('Labeled Data'!J260=1, 1, "")</f>
        <v/>
      </c>
      <c r="B260" s="5">
        <v>258</v>
      </c>
      <c r="C260" t="s">
        <v>273</v>
      </c>
      <c r="D260" t="str">
        <f>IF('Labeled Data'!W260=1, 'Labeled Data'!Y260, "")</f>
        <v>trust</v>
      </c>
    </row>
    <row r="261" spans="1:4" x14ac:dyDescent="0.25">
      <c r="A261" t="str">
        <f>IF('Labeled Data'!J261=1, 1, "")</f>
        <v/>
      </c>
      <c r="B261" s="5">
        <v>259</v>
      </c>
      <c r="C261" t="s">
        <v>274</v>
      </c>
      <c r="D261" t="str">
        <f>IF('Labeled Data'!W261=1, 'Labeled Data'!Y261, "")</f>
        <v>trust</v>
      </c>
    </row>
    <row r="262" spans="1:4" x14ac:dyDescent="0.25">
      <c r="A262">
        <f>IF('Labeled Data'!J262=1, 1, "")</f>
        <v>1</v>
      </c>
      <c r="B262" s="5">
        <v>260</v>
      </c>
      <c r="C262" t="s">
        <v>275</v>
      </c>
      <c r="D262" t="str">
        <f>IF('Labeled Data'!W262=1, 'Labeled Data'!Y262, "")</f>
        <v>trust</v>
      </c>
    </row>
    <row r="263" spans="1:4" x14ac:dyDescent="0.25">
      <c r="A263">
        <f>IF('Labeled Data'!J263=1, 1, "")</f>
        <v>1</v>
      </c>
      <c r="B263" s="5">
        <v>261</v>
      </c>
      <c r="C263" t="s">
        <v>276</v>
      </c>
      <c r="D263" t="str">
        <f>IF('Labeled Data'!W263=1, 'Labeled Data'!Y263, "")</f>
        <v>AMBIGUOUS</v>
      </c>
    </row>
    <row r="264" spans="1:4" x14ac:dyDescent="0.25">
      <c r="A264" t="str">
        <f>IF('Labeled Data'!J264=1, 1, "")</f>
        <v/>
      </c>
      <c r="B264" s="5">
        <v>262</v>
      </c>
      <c r="C264" t="s">
        <v>277</v>
      </c>
      <c r="D264" t="str">
        <f>IF('Labeled Data'!W264=1, 'Labeled Data'!Y264, "")</f>
        <v>disgust</v>
      </c>
    </row>
    <row r="265" spans="1:4" x14ac:dyDescent="0.25">
      <c r="A265">
        <f>IF('Labeled Data'!J265=1, 1, "")</f>
        <v>1</v>
      </c>
      <c r="B265" s="5">
        <v>263</v>
      </c>
      <c r="C265" t="s">
        <v>278</v>
      </c>
      <c r="D265" t="str">
        <f>IF('Labeled Data'!W265=1, 'Labeled Data'!Y265, "")</f>
        <v>AMBIGUOUS</v>
      </c>
    </row>
    <row r="266" spans="1:4" x14ac:dyDescent="0.25">
      <c r="A266" t="str">
        <f>IF('Labeled Data'!J266=1, 1, "")</f>
        <v/>
      </c>
      <c r="B266" s="5">
        <v>264</v>
      </c>
      <c r="C266" t="s">
        <v>279</v>
      </c>
      <c r="D266" t="str">
        <f>IF('Labeled Data'!W266=1, 'Labeled Data'!Y266, "")</f>
        <v>fear</v>
      </c>
    </row>
    <row r="267" spans="1:4" x14ac:dyDescent="0.25">
      <c r="A267" t="str">
        <f>IF('Labeled Data'!J267=1, 1, "")</f>
        <v/>
      </c>
      <c r="B267" s="5">
        <v>265</v>
      </c>
      <c r="C267" t="s">
        <v>280</v>
      </c>
      <c r="D267" t="str">
        <f>IF('Labeled Data'!W267=1, 'Labeled Data'!Y267, "")</f>
        <v>trust</v>
      </c>
    </row>
    <row r="268" spans="1:4" x14ac:dyDescent="0.25">
      <c r="A268">
        <f>IF('Labeled Data'!J268=1, 1, "")</f>
        <v>1</v>
      </c>
      <c r="B268" s="5">
        <v>266</v>
      </c>
      <c r="C268" t="s">
        <v>281</v>
      </c>
      <c r="D268" t="str">
        <f>IF('Labeled Data'!W268=1, 'Labeled Data'!Y268, "")</f>
        <v>trust</v>
      </c>
    </row>
    <row r="269" spans="1:4" x14ac:dyDescent="0.25">
      <c r="A269" t="str">
        <f>IF('Labeled Data'!J269=1, 1, "")</f>
        <v/>
      </c>
      <c r="B269" s="5">
        <v>267</v>
      </c>
      <c r="C269" t="s">
        <v>282</v>
      </c>
      <c r="D269" t="str">
        <f>IF('Labeled Data'!W269=1, 'Labeled Data'!Y269, "")</f>
        <v>AMBIGUOUS</v>
      </c>
    </row>
    <row r="270" spans="1:4" x14ac:dyDescent="0.25">
      <c r="A270" t="str">
        <f>IF('Labeled Data'!J270=1, 1, "")</f>
        <v/>
      </c>
      <c r="B270" s="5">
        <v>268</v>
      </c>
      <c r="C270" t="s">
        <v>283</v>
      </c>
      <c r="D270" t="str">
        <f>IF('Labeled Data'!W270=1, 'Labeled Data'!Y270, "")</f>
        <v>trust</v>
      </c>
    </row>
    <row r="271" spans="1:4" x14ac:dyDescent="0.25">
      <c r="A271">
        <f>IF('Labeled Data'!J271=1, 1, "")</f>
        <v>1</v>
      </c>
      <c r="B271" s="5">
        <v>269</v>
      </c>
      <c r="C271" t="s">
        <v>284</v>
      </c>
      <c r="D271" t="str">
        <f>IF('Labeled Data'!W271=1, 'Labeled Data'!Y271, "")</f>
        <v>sadness</v>
      </c>
    </row>
    <row r="272" spans="1:4" x14ac:dyDescent="0.25">
      <c r="A272">
        <f>IF('Labeled Data'!J272=1, 1, "")</f>
        <v>1</v>
      </c>
      <c r="B272" s="5">
        <v>270</v>
      </c>
      <c r="C272" t="s">
        <v>285</v>
      </c>
      <c r="D272" t="str">
        <f>IF('Labeled Data'!W272=1, 'Labeled Data'!Y272, "")</f>
        <v>disgust</v>
      </c>
    </row>
    <row r="273" spans="1:4" x14ac:dyDescent="0.25">
      <c r="A273">
        <f>IF('Labeled Data'!J273=1, 1, "")</f>
        <v>1</v>
      </c>
      <c r="B273" s="5">
        <v>271</v>
      </c>
      <c r="C273" t="s">
        <v>286</v>
      </c>
      <c r="D273" t="str">
        <f>IF('Labeled Data'!W273=1, 'Labeled Data'!Y273, "")</f>
        <v>surprise</v>
      </c>
    </row>
    <row r="274" spans="1:4" x14ac:dyDescent="0.25">
      <c r="A274">
        <f>IF('Labeled Data'!J274=1, 1, "")</f>
        <v>1</v>
      </c>
      <c r="B274" s="5">
        <v>272</v>
      </c>
      <c r="C274" t="s">
        <v>287</v>
      </c>
      <c r="D274" t="str">
        <f>IF('Labeled Data'!W274=1, 'Labeled Data'!Y274, "")</f>
        <v>anger</v>
      </c>
    </row>
    <row r="275" spans="1:4" x14ac:dyDescent="0.25">
      <c r="A275" t="str">
        <f>IF('Labeled Data'!J275=1, 1, "")</f>
        <v/>
      </c>
      <c r="B275" s="5">
        <v>273</v>
      </c>
      <c r="C275" t="s">
        <v>288</v>
      </c>
      <c r="D275" t="str">
        <f>IF('Labeled Data'!W275=1, 'Labeled Data'!Y275, "")</f>
        <v>joy</v>
      </c>
    </row>
    <row r="276" spans="1:4" x14ac:dyDescent="0.25">
      <c r="A276" t="str">
        <f>IF('Labeled Data'!J276=1, 1, "")</f>
        <v/>
      </c>
      <c r="B276" s="5">
        <v>274</v>
      </c>
      <c r="C276" t="s">
        <v>289</v>
      </c>
      <c r="D276" t="str">
        <f>IF('Labeled Data'!W276=1, 'Labeled Data'!Y276, "")</f>
        <v>disgust</v>
      </c>
    </row>
    <row r="277" spans="1:4" x14ac:dyDescent="0.25">
      <c r="A277" t="str">
        <f>IF('Labeled Data'!J277=1, 1, "")</f>
        <v/>
      </c>
      <c r="B277" s="5">
        <v>275</v>
      </c>
      <c r="C277" t="s">
        <v>290</v>
      </c>
      <c r="D277" t="str">
        <f>IF('Labeled Data'!W277=1, 'Labeled Data'!Y277, "")</f>
        <v>AMBIGUOUS</v>
      </c>
    </row>
    <row r="278" spans="1:4" x14ac:dyDescent="0.25">
      <c r="A278">
        <f>IF('Labeled Data'!J278=1, 1, "")</f>
        <v>1</v>
      </c>
      <c r="B278" s="5">
        <v>276</v>
      </c>
      <c r="C278" t="s">
        <v>291</v>
      </c>
      <c r="D278" t="str">
        <f>IF('Labeled Data'!W278=1, 'Labeled Data'!Y278, "")</f>
        <v>AMBIGUOUS</v>
      </c>
    </row>
    <row r="279" spans="1:4" x14ac:dyDescent="0.25">
      <c r="A279">
        <f>IF('Labeled Data'!J279=1, 1, "")</f>
        <v>1</v>
      </c>
      <c r="B279" s="5">
        <v>277</v>
      </c>
      <c r="C279" t="s">
        <v>292</v>
      </c>
      <c r="D279" t="str">
        <f>IF('Labeled Data'!W279=1, 'Labeled Data'!Y279, "")</f>
        <v>disgust</v>
      </c>
    </row>
    <row r="280" spans="1:4" x14ac:dyDescent="0.25">
      <c r="A280" t="str">
        <f>IF('Labeled Data'!J280=1, 1, "")</f>
        <v/>
      </c>
      <c r="B280" s="5">
        <v>278</v>
      </c>
      <c r="C280" t="s">
        <v>293</v>
      </c>
      <c r="D280" t="str">
        <f>IF('Labeled Data'!W280=1, 'Labeled Data'!Y280, "")</f>
        <v>AMBIGUOUS</v>
      </c>
    </row>
    <row r="281" spans="1:4" x14ac:dyDescent="0.25">
      <c r="A281" t="str">
        <f>IF('Labeled Data'!J281=1, 1, "")</f>
        <v/>
      </c>
      <c r="B281" s="5">
        <v>279</v>
      </c>
      <c r="C281" t="s">
        <v>294</v>
      </c>
      <c r="D281" t="str">
        <f>IF('Labeled Data'!W281=1, 'Labeled Data'!Y281, "")</f>
        <v>trust</v>
      </c>
    </row>
    <row r="282" spans="1:4" x14ac:dyDescent="0.25">
      <c r="A282">
        <f>IF('Labeled Data'!J282=1, 1, "")</f>
        <v>1</v>
      </c>
      <c r="B282" s="5">
        <v>280</v>
      </c>
      <c r="C282" t="s">
        <v>295</v>
      </c>
      <c r="D282" t="str">
        <f>IF('Labeled Data'!W282=1, 'Labeled Data'!Y282, "")</f>
        <v>AMBIGUOUS</v>
      </c>
    </row>
    <row r="283" spans="1:4" x14ac:dyDescent="0.25">
      <c r="A283" t="str">
        <f>IF('Labeled Data'!J283=1, 1, "")</f>
        <v/>
      </c>
      <c r="B283" s="5">
        <v>281</v>
      </c>
      <c r="C283" t="s">
        <v>296</v>
      </c>
      <c r="D283" t="str">
        <f>IF('Labeled Data'!W283=1, 'Labeled Data'!Y283, "")</f>
        <v>joy</v>
      </c>
    </row>
    <row r="284" spans="1:4" x14ac:dyDescent="0.25">
      <c r="A284">
        <f>IF('Labeled Data'!J284=1, 1, "")</f>
        <v>1</v>
      </c>
      <c r="B284" s="5">
        <v>282</v>
      </c>
      <c r="C284" t="s">
        <v>297</v>
      </c>
      <c r="D284" t="str">
        <f>IF('Labeled Data'!W284=1, 'Labeled Data'!Y284, "")</f>
        <v>joy</v>
      </c>
    </row>
    <row r="285" spans="1:4" x14ac:dyDescent="0.25">
      <c r="A285" t="str">
        <f>IF('Labeled Data'!J285=1, 1, "")</f>
        <v/>
      </c>
      <c r="B285" s="5">
        <v>283</v>
      </c>
      <c r="C285" t="s">
        <v>298</v>
      </c>
      <c r="D285" t="str">
        <f>IF('Labeled Data'!W285=1, 'Labeled Data'!Y285, "")</f>
        <v>AMBIGUOUS</v>
      </c>
    </row>
    <row r="286" spans="1:4" x14ac:dyDescent="0.25">
      <c r="A286" t="str">
        <f>IF('Labeled Data'!J286=1, 1, "")</f>
        <v/>
      </c>
      <c r="B286" s="5">
        <v>284</v>
      </c>
      <c r="C286" t="s">
        <v>299</v>
      </c>
      <c r="D286" t="str">
        <f>IF('Labeled Data'!W286=1, 'Labeled Data'!Y286, "")</f>
        <v>joy</v>
      </c>
    </row>
    <row r="287" spans="1:4" x14ac:dyDescent="0.25">
      <c r="A287" t="str">
        <f>IF('Labeled Data'!J287=1, 1, "")</f>
        <v/>
      </c>
      <c r="B287" s="5">
        <v>285</v>
      </c>
      <c r="C287" t="s">
        <v>300</v>
      </c>
      <c r="D287" t="str">
        <f>IF('Labeled Data'!W287=1, 'Labeled Data'!Y287, "")</f>
        <v>disgust</v>
      </c>
    </row>
    <row r="288" spans="1:4" x14ac:dyDescent="0.25">
      <c r="A288" t="str">
        <f>IF('Labeled Data'!J288=1, 1, "")</f>
        <v/>
      </c>
      <c r="B288" s="5">
        <v>286</v>
      </c>
      <c r="C288" t="s">
        <v>301</v>
      </c>
      <c r="D288" t="str">
        <f>IF('Labeled Data'!W288=1, 'Labeled Data'!Y288, "")</f>
        <v>joy</v>
      </c>
    </row>
    <row r="289" spans="1:4" x14ac:dyDescent="0.25">
      <c r="A289" t="str">
        <f>IF('Labeled Data'!J289=1, 1, "")</f>
        <v/>
      </c>
      <c r="B289" s="5">
        <v>287</v>
      </c>
      <c r="C289" t="s">
        <v>302</v>
      </c>
      <c r="D289" t="str">
        <f>IF('Labeled Data'!W289=1, 'Labeled Data'!Y289, "")</f>
        <v>AMBIGUOUS</v>
      </c>
    </row>
    <row r="290" spans="1:4" x14ac:dyDescent="0.25">
      <c r="A290">
        <f>IF('Labeled Data'!J290=1, 1, "")</f>
        <v>1</v>
      </c>
      <c r="B290" s="5">
        <v>288</v>
      </c>
      <c r="C290" t="s">
        <v>303</v>
      </c>
      <c r="D290" t="str">
        <f>IF('Labeled Data'!W290=1, 'Labeled Data'!Y290, "")</f>
        <v>fear</v>
      </c>
    </row>
    <row r="291" spans="1:4" x14ac:dyDescent="0.25">
      <c r="A291">
        <f>IF('Labeled Data'!J291=1, 1, "")</f>
        <v>1</v>
      </c>
      <c r="B291" s="5">
        <v>289</v>
      </c>
      <c r="C291" t="s">
        <v>304</v>
      </c>
      <c r="D291" t="str">
        <f>IF('Labeled Data'!W291=1, 'Labeled Data'!Y291, "")</f>
        <v>joy</v>
      </c>
    </row>
    <row r="292" spans="1:4" x14ac:dyDescent="0.25">
      <c r="A292">
        <f>IF('Labeled Data'!J292=1, 1, "")</f>
        <v>1</v>
      </c>
      <c r="B292" s="5">
        <v>290</v>
      </c>
      <c r="C292" t="s">
        <v>305</v>
      </c>
      <c r="D292" t="str">
        <f>IF('Labeled Data'!W292=1, 'Labeled Data'!Y292, "")</f>
        <v>joy</v>
      </c>
    </row>
    <row r="293" spans="1:4" x14ac:dyDescent="0.25">
      <c r="A293">
        <f>IF('Labeled Data'!J293=1, 1, "")</f>
        <v>1</v>
      </c>
      <c r="B293" s="5">
        <v>291</v>
      </c>
      <c r="C293" t="s">
        <v>306</v>
      </c>
      <c r="D293" t="str">
        <f>IF('Labeled Data'!W293=1, 'Labeled Data'!Y293, "")</f>
        <v>disgust</v>
      </c>
    </row>
    <row r="294" spans="1:4" x14ac:dyDescent="0.25">
      <c r="A294">
        <f>IF('Labeled Data'!J294=1, 1, "")</f>
        <v>1</v>
      </c>
      <c r="B294" s="5">
        <v>292</v>
      </c>
      <c r="C294" t="s">
        <v>307</v>
      </c>
      <c r="D294" t="str">
        <f>IF('Labeled Data'!W294=1, 'Labeled Data'!Y294, "")</f>
        <v>fear</v>
      </c>
    </row>
    <row r="295" spans="1:4" x14ac:dyDescent="0.25">
      <c r="A295" t="str">
        <f>IF('Labeled Data'!J295=1, 1, "")</f>
        <v/>
      </c>
      <c r="B295" s="5">
        <v>293</v>
      </c>
      <c r="C295" t="s">
        <v>308</v>
      </c>
      <c r="D295" t="str">
        <f>IF('Labeled Data'!W295=1, 'Labeled Data'!Y295, "")</f>
        <v>joy</v>
      </c>
    </row>
    <row r="296" spans="1:4" x14ac:dyDescent="0.25">
      <c r="A296">
        <f>IF('Labeled Data'!J296=1, 1, "")</f>
        <v>1</v>
      </c>
      <c r="B296" s="5">
        <v>294</v>
      </c>
      <c r="C296" t="s">
        <v>309</v>
      </c>
      <c r="D296" t="str">
        <f>IF('Labeled Data'!W296=1, 'Labeled Data'!Y296, "")</f>
        <v>fear</v>
      </c>
    </row>
    <row r="297" spans="1:4" x14ac:dyDescent="0.25">
      <c r="A297" t="str">
        <f>IF('Labeled Data'!J297=1, 1, "")</f>
        <v/>
      </c>
      <c r="B297" s="5">
        <v>295</v>
      </c>
      <c r="C297" t="s">
        <v>310</v>
      </c>
      <c r="D297" t="str">
        <f>IF('Labeled Data'!W297=1, 'Labeled Data'!Y297, "")</f>
        <v>sadness</v>
      </c>
    </row>
    <row r="298" spans="1:4" x14ac:dyDescent="0.25">
      <c r="A298" t="str">
        <f>IF('Labeled Data'!J298=1, 1, "")</f>
        <v/>
      </c>
      <c r="B298" s="5">
        <v>296</v>
      </c>
      <c r="C298" t="s">
        <v>311</v>
      </c>
      <c r="D298" t="str">
        <f>IF('Labeled Data'!W298=1, 'Labeled Data'!Y298, "")</f>
        <v>joy</v>
      </c>
    </row>
    <row r="299" spans="1:4" x14ac:dyDescent="0.25">
      <c r="A299" t="str">
        <f>IF('Labeled Data'!J299=1, 1, "")</f>
        <v/>
      </c>
      <c r="B299" s="5">
        <v>297</v>
      </c>
      <c r="C299" t="s">
        <v>312</v>
      </c>
      <c r="D299" t="str">
        <f>IF('Labeled Data'!W299=1, 'Labeled Data'!Y299, "")</f>
        <v>joy</v>
      </c>
    </row>
    <row r="300" spans="1:4" x14ac:dyDescent="0.25">
      <c r="A300">
        <f>IF('Labeled Data'!J300=1, 1, "")</f>
        <v>1</v>
      </c>
      <c r="B300" s="5">
        <v>298</v>
      </c>
      <c r="C300" t="s">
        <v>313</v>
      </c>
      <c r="D300" t="str">
        <f>IF('Labeled Data'!W300=1, 'Labeled Data'!Y300, "")</f>
        <v>trust</v>
      </c>
    </row>
    <row r="301" spans="1:4" x14ac:dyDescent="0.25">
      <c r="A301">
        <f>IF('Labeled Data'!J301=1, 1, "")</f>
        <v>1</v>
      </c>
      <c r="B301" s="5">
        <v>299</v>
      </c>
      <c r="C301" t="s">
        <v>314</v>
      </c>
      <c r="D301" t="str">
        <f>IF('Labeled Data'!W301=1, 'Labeled Data'!Y301, "")</f>
        <v>AMBIGUOUS</v>
      </c>
    </row>
    <row r="302" spans="1:4" x14ac:dyDescent="0.25">
      <c r="A302">
        <f>IF('Labeled Data'!J302=1, 1, "")</f>
        <v>1</v>
      </c>
      <c r="B302" s="5">
        <v>300</v>
      </c>
      <c r="C302" t="s">
        <v>315</v>
      </c>
      <c r="D302" t="str">
        <f>IF('Labeled Data'!W302=1, 'Labeled Data'!Y302, "")</f>
        <v>fear</v>
      </c>
    </row>
    <row r="303" spans="1:4" x14ac:dyDescent="0.25">
      <c r="A303">
        <f>IF('Labeled Data'!J303=1, 1, "")</f>
        <v>1</v>
      </c>
      <c r="B303" s="5">
        <v>301</v>
      </c>
      <c r="C303" t="s">
        <v>316</v>
      </c>
      <c r="D303" t="str">
        <f>IF('Labeled Data'!W303=1, 'Labeled Data'!Y303, "")</f>
        <v>joy</v>
      </c>
    </row>
    <row r="304" spans="1:4" x14ac:dyDescent="0.25">
      <c r="A304">
        <f>IF('Labeled Data'!J304=1, 1, "")</f>
        <v>1</v>
      </c>
      <c r="B304" s="5">
        <v>302</v>
      </c>
      <c r="C304" t="s">
        <v>317</v>
      </c>
      <c r="D304" t="str">
        <f>IF('Labeled Data'!W304=1, 'Labeled Data'!Y304, "")</f>
        <v>AMBIGUOUS</v>
      </c>
    </row>
    <row r="305" spans="1:4" x14ac:dyDescent="0.25">
      <c r="A305" t="str">
        <f>IF('Labeled Data'!J305=1, 1, "")</f>
        <v/>
      </c>
      <c r="B305" s="5">
        <v>303</v>
      </c>
      <c r="C305" t="s">
        <v>318</v>
      </c>
      <c r="D305" t="str">
        <f>IF('Labeled Data'!W305=1, 'Labeled Data'!Y305, "")</f>
        <v>joy</v>
      </c>
    </row>
    <row r="306" spans="1:4" x14ac:dyDescent="0.25">
      <c r="A306">
        <f>IF('Labeled Data'!J306=1, 1, "")</f>
        <v>1</v>
      </c>
      <c r="B306" s="5">
        <v>304</v>
      </c>
      <c r="C306" t="s">
        <v>319</v>
      </c>
      <c r="D306" t="str">
        <f>IF('Labeled Data'!W306=1, 'Labeled Data'!Y306, "")</f>
        <v>sadness</v>
      </c>
    </row>
    <row r="307" spans="1:4" x14ac:dyDescent="0.25">
      <c r="A307" t="str">
        <f>IF('Labeled Data'!J307=1, 1, "")</f>
        <v/>
      </c>
      <c r="B307" s="5">
        <v>305</v>
      </c>
      <c r="C307" t="s">
        <v>320</v>
      </c>
      <c r="D307" t="str">
        <f>IF('Labeled Data'!W307=1, 'Labeled Data'!Y307, "")</f>
        <v>AMBIGUOUS</v>
      </c>
    </row>
    <row r="308" spans="1:4" x14ac:dyDescent="0.25">
      <c r="A308">
        <f>IF('Labeled Data'!J308=1, 1, "")</f>
        <v>1</v>
      </c>
      <c r="B308" s="5">
        <v>306</v>
      </c>
      <c r="C308" t="s">
        <v>321</v>
      </c>
      <c r="D308" t="str">
        <f>IF('Labeled Data'!W308=1, 'Labeled Data'!Y308, "")</f>
        <v>sadness</v>
      </c>
    </row>
    <row r="309" spans="1:4" x14ac:dyDescent="0.25">
      <c r="A309">
        <f>IF('Labeled Data'!J309=1, 1, "")</f>
        <v>1</v>
      </c>
      <c r="B309" s="5">
        <v>307</v>
      </c>
      <c r="C309" t="s">
        <v>322</v>
      </c>
      <c r="D309" t="str">
        <f>IF('Labeled Data'!W309=1, 'Labeled Data'!Y309, "")</f>
        <v>sadness</v>
      </c>
    </row>
    <row r="310" spans="1:4" x14ac:dyDescent="0.25">
      <c r="A310">
        <f>IF('Labeled Data'!J310=1, 1, "")</f>
        <v>1</v>
      </c>
      <c r="B310" s="5">
        <v>308</v>
      </c>
      <c r="C310" t="s">
        <v>323</v>
      </c>
      <c r="D310" t="str">
        <f>IF('Labeled Data'!W310=1, 'Labeled Data'!Y310, "")</f>
        <v>sadness</v>
      </c>
    </row>
    <row r="311" spans="1:4" x14ac:dyDescent="0.25">
      <c r="A311">
        <f>IF('Labeled Data'!J311=1, 1, "")</f>
        <v>1</v>
      </c>
      <c r="B311" s="5">
        <v>309</v>
      </c>
      <c r="C311" t="s">
        <v>324</v>
      </c>
      <c r="D311" t="str">
        <f>IF('Labeled Data'!W311=1, 'Labeled Data'!Y311, "")</f>
        <v>sadness</v>
      </c>
    </row>
    <row r="312" spans="1:4" x14ac:dyDescent="0.25">
      <c r="A312">
        <f>IF('Labeled Data'!J312=1, 1, "")</f>
        <v>1</v>
      </c>
      <c r="B312" s="5">
        <v>310</v>
      </c>
      <c r="C312" t="s">
        <v>325</v>
      </c>
      <c r="D312" t="str">
        <f>IF('Labeled Data'!W312=1, 'Labeled Data'!Y312, "")</f>
        <v>trust</v>
      </c>
    </row>
    <row r="313" spans="1:4" x14ac:dyDescent="0.25">
      <c r="A313">
        <f>IF('Labeled Data'!J313=1, 1, "")</f>
        <v>1</v>
      </c>
      <c r="B313" s="5">
        <v>311</v>
      </c>
      <c r="C313" t="s">
        <v>326</v>
      </c>
      <c r="D313" t="str">
        <f>IF('Labeled Data'!W313=1, 'Labeled Data'!Y313, "")</f>
        <v>sadness</v>
      </c>
    </row>
    <row r="314" spans="1:4" x14ac:dyDescent="0.25">
      <c r="A314">
        <f>IF('Labeled Data'!J314=1, 1, "")</f>
        <v>1</v>
      </c>
      <c r="B314" s="5">
        <v>312</v>
      </c>
      <c r="C314" t="s">
        <v>327</v>
      </c>
      <c r="D314" t="str">
        <f>IF('Labeled Data'!W314=1, 'Labeled Data'!Y314, "")</f>
        <v>surprise</v>
      </c>
    </row>
    <row r="315" spans="1:4" x14ac:dyDescent="0.25">
      <c r="A315" t="str">
        <f>IF('Labeled Data'!J315=1, 1, "")</f>
        <v/>
      </c>
      <c r="B315" s="5">
        <v>313</v>
      </c>
      <c r="C315" t="s">
        <v>328</v>
      </c>
      <c r="D315" t="str">
        <f>IF('Labeled Data'!W315=1, 'Labeled Data'!Y315, "")</f>
        <v>sadness</v>
      </c>
    </row>
    <row r="316" spans="1:4" x14ac:dyDescent="0.25">
      <c r="A316" t="str">
        <f>IF('Labeled Data'!J316=1, 1, "")</f>
        <v/>
      </c>
      <c r="B316" s="5">
        <v>314</v>
      </c>
      <c r="C316" t="s">
        <v>329</v>
      </c>
      <c r="D316" t="str">
        <f>IF('Labeled Data'!W316=1, 'Labeled Data'!Y316, "")</f>
        <v>sadness</v>
      </c>
    </row>
    <row r="317" spans="1:4" x14ac:dyDescent="0.25">
      <c r="A317" t="str">
        <f>IF('Labeled Data'!J317=1, 1, "")</f>
        <v/>
      </c>
      <c r="B317" s="5">
        <v>315</v>
      </c>
      <c r="C317" t="s">
        <v>330</v>
      </c>
      <c r="D317" t="str">
        <f>IF('Labeled Data'!W317=1, 'Labeled Data'!Y317, "")</f>
        <v>fear</v>
      </c>
    </row>
    <row r="318" spans="1:4" x14ac:dyDescent="0.25">
      <c r="A318">
        <f>IF('Labeled Data'!J318=1, 1, "")</f>
        <v>1</v>
      </c>
      <c r="B318" s="5">
        <v>316</v>
      </c>
      <c r="C318" t="s">
        <v>331</v>
      </c>
      <c r="D318" t="str">
        <f>IF('Labeled Data'!W318=1, 'Labeled Data'!Y318, "")</f>
        <v>trust</v>
      </c>
    </row>
    <row r="319" spans="1:4" x14ac:dyDescent="0.25">
      <c r="A319">
        <f>IF('Labeled Data'!J319=1, 1, "")</f>
        <v>1</v>
      </c>
      <c r="B319" s="5">
        <v>317</v>
      </c>
      <c r="C319" t="s">
        <v>332</v>
      </c>
      <c r="D319" t="str">
        <f>IF('Labeled Data'!W319=1, 'Labeled Data'!Y319, "")</f>
        <v>anticipation</v>
      </c>
    </row>
    <row r="320" spans="1:4" x14ac:dyDescent="0.25">
      <c r="A320">
        <f>IF('Labeled Data'!J320=1, 1, "")</f>
        <v>1</v>
      </c>
      <c r="B320" s="5">
        <v>318</v>
      </c>
      <c r="C320" t="s">
        <v>333</v>
      </c>
      <c r="D320" t="str">
        <f>IF('Labeled Data'!W320=1, 'Labeled Data'!Y320, "")</f>
        <v>sadness</v>
      </c>
    </row>
    <row r="321" spans="1:4" x14ac:dyDescent="0.25">
      <c r="A321">
        <f>IF('Labeled Data'!J321=1, 1, "")</f>
        <v>1</v>
      </c>
      <c r="B321" s="5">
        <v>319</v>
      </c>
      <c r="C321" t="s">
        <v>334</v>
      </c>
      <c r="D321" t="str">
        <f>IF('Labeled Data'!W321=1, 'Labeled Data'!Y321, "")</f>
        <v>fear</v>
      </c>
    </row>
    <row r="322" spans="1:4" x14ac:dyDescent="0.25">
      <c r="A322">
        <f>IF('Labeled Data'!J322=1, 1, "")</f>
        <v>1</v>
      </c>
      <c r="B322" s="5">
        <v>320</v>
      </c>
      <c r="C322" t="s">
        <v>335</v>
      </c>
      <c r="D322" t="str">
        <f>IF('Labeled Data'!W322=1, 'Labeled Data'!Y322, "")</f>
        <v>sadness</v>
      </c>
    </row>
    <row r="323" spans="1:4" x14ac:dyDescent="0.25">
      <c r="A323">
        <f>IF('Labeled Data'!J323=1, 1, "")</f>
        <v>1</v>
      </c>
      <c r="B323" s="5">
        <v>321</v>
      </c>
      <c r="C323" t="s">
        <v>336</v>
      </c>
      <c r="D323" t="str">
        <f>IF('Labeled Data'!W323=1, 'Labeled Data'!Y323, "")</f>
        <v>joy</v>
      </c>
    </row>
    <row r="324" spans="1:4" x14ac:dyDescent="0.25">
      <c r="A324">
        <f>IF('Labeled Data'!J324=1, 1, "")</f>
        <v>1</v>
      </c>
      <c r="B324" s="5">
        <v>322</v>
      </c>
      <c r="C324" t="s">
        <v>337</v>
      </c>
      <c r="D324" t="str">
        <f>IF('Labeled Data'!W324=1, 'Labeled Data'!Y324, "")</f>
        <v>sadness</v>
      </c>
    </row>
    <row r="325" spans="1:4" x14ac:dyDescent="0.25">
      <c r="A325">
        <f>IF('Labeled Data'!J325=1, 1, "")</f>
        <v>1</v>
      </c>
      <c r="B325" s="5">
        <v>323</v>
      </c>
      <c r="C325" t="s">
        <v>338</v>
      </c>
      <c r="D325" t="str">
        <f>IF('Labeled Data'!W325=1, 'Labeled Data'!Y325, "")</f>
        <v>anger</v>
      </c>
    </row>
    <row r="326" spans="1:4" x14ac:dyDescent="0.25">
      <c r="A326" t="str">
        <f>IF('Labeled Data'!J326=1, 1, "")</f>
        <v/>
      </c>
      <c r="B326" s="5">
        <v>324</v>
      </c>
      <c r="C326" t="s">
        <v>339</v>
      </c>
      <c r="D326" t="str">
        <f>IF('Labeled Data'!W326=1, 'Labeled Data'!Y326, "")</f>
        <v>joy</v>
      </c>
    </row>
    <row r="327" spans="1:4" x14ac:dyDescent="0.25">
      <c r="A327">
        <f>IF('Labeled Data'!J327=1, 1, "")</f>
        <v>1</v>
      </c>
      <c r="B327" s="5">
        <v>325</v>
      </c>
      <c r="C327" t="s">
        <v>340</v>
      </c>
      <c r="D327" t="str">
        <f>IF('Labeled Data'!W327=1, 'Labeled Data'!Y327, "")</f>
        <v>joy</v>
      </c>
    </row>
    <row r="328" spans="1:4" x14ac:dyDescent="0.25">
      <c r="A328" t="str">
        <f>IF('Labeled Data'!J328=1, 1, "")</f>
        <v/>
      </c>
      <c r="B328" s="5">
        <v>326</v>
      </c>
      <c r="C328" t="s">
        <v>341</v>
      </c>
      <c r="D328" t="str">
        <f>IF('Labeled Data'!W328=1, 'Labeled Data'!Y328, "")</f>
        <v>joy</v>
      </c>
    </row>
    <row r="329" spans="1:4" x14ac:dyDescent="0.25">
      <c r="A329">
        <f>IF('Labeled Data'!J329=1, 1, "")</f>
        <v>1</v>
      </c>
      <c r="B329" s="5">
        <v>327</v>
      </c>
      <c r="C329" t="s">
        <v>342</v>
      </c>
      <c r="D329" t="str">
        <f>IF('Labeled Data'!W329=1, 'Labeled Data'!Y329, "")</f>
        <v>joy</v>
      </c>
    </row>
    <row r="330" spans="1:4" x14ac:dyDescent="0.25">
      <c r="A330">
        <f>IF('Labeled Data'!J330=1, 1, "")</f>
        <v>1</v>
      </c>
      <c r="B330" s="5">
        <v>328</v>
      </c>
      <c r="C330" t="s">
        <v>343</v>
      </c>
      <c r="D330" t="str">
        <f>IF('Labeled Data'!W330=1, 'Labeled Data'!Y330, "")</f>
        <v>sadness</v>
      </c>
    </row>
    <row r="331" spans="1:4" x14ac:dyDescent="0.25">
      <c r="A331" t="str">
        <f>IF('Labeled Data'!J331=1, 1, "")</f>
        <v/>
      </c>
      <c r="B331" s="5">
        <v>329</v>
      </c>
      <c r="C331" t="s">
        <v>344</v>
      </c>
      <c r="D331" t="str">
        <f>IF('Labeled Data'!W331=1, 'Labeled Data'!Y331, "")</f>
        <v>joy</v>
      </c>
    </row>
    <row r="332" spans="1:4" x14ac:dyDescent="0.25">
      <c r="A332" t="str">
        <f>IF('Labeled Data'!J332=1, 1, "")</f>
        <v/>
      </c>
      <c r="B332" s="5">
        <v>330</v>
      </c>
      <c r="C332" t="s">
        <v>345</v>
      </c>
      <c r="D332" t="str">
        <f>IF('Labeled Data'!W332=1, 'Labeled Data'!Y332, "")</f>
        <v>joy</v>
      </c>
    </row>
    <row r="333" spans="1:4" x14ac:dyDescent="0.25">
      <c r="A333" t="str">
        <f>IF('Labeled Data'!J333=1, 1, "")</f>
        <v/>
      </c>
      <c r="B333" s="5">
        <v>331</v>
      </c>
      <c r="C333" t="s">
        <v>346</v>
      </c>
      <c r="D333" t="str">
        <f>IF('Labeled Data'!W333=1, 'Labeled Data'!Y333, "")</f>
        <v>joy</v>
      </c>
    </row>
    <row r="334" spans="1:4" x14ac:dyDescent="0.25">
      <c r="A334" t="str">
        <f>IF('Labeled Data'!J334=1, 1, "")</f>
        <v/>
      </c>
      <c r="B334" s="5">
        <v>332</v>
      </c>
      <c r="C334" t="s">
        <v>347</v>
      </c>
      <c r="D334" t="str">
        <f>IF('Labeled Data'!W334=1, 'Labeled Data'!Y334, "")</f>
        <v>joy</v>
      </c>
    </row>
    <row r="335" spans="1:4" x14ac:dyDescent="0.25">
      <c r="A335">
        <f>IF('Labeled Data'!J335=1, 1, "")</f>
        <v>1</v>
      </c>
      <c r="B335" s="5">
        <v>333</v>
      </c>
      <c r="C335" t="s">
        <v>348</v>
      </c>
      <c r="D335" t="str">
        <f>IF('Labeled Data'!W335=1, 'Labeled Data'!Y335, "")</f>
        <v>joy</v>
      </c>
    </row>
    <row r="336" spans="1:4" x14ac:dyDescent="0.25">
      <c r="A336">
        <f>IF('Labeled Data'!J336=1, 1, "")</f>
        <v>1</v>
      </c>
      <c r="B336" s="5">
        <v>334</v>
      </c>
      <c r="C336" t="s">
        <v>349</v>
      </c>
      <c r="D336" t="str">
        <f>IF('Labeled Data'!W336=1, 'Labeled Data'!Y336, "")</f>
        <v>joy</v>
      </c>
    </row>
    <row r="337" spans="1:4" x14ac:dyDescent="0.25">
      <c r="A337">
        <f>IF('Labeled Data'!J337=1, 1, "")</f>
        <v>1</v>
      </c>
      <c r="B337" s="5">
        <v>335</v>
      </c>
      <c r="C337" t="s">
        <v>350</v>
      </c>
      <c r="D337" t="str">
        <f>IF('Labeled Data'!W337=1, 'Labeled Data'!Y337, "")</f>
        <v>joy</v>
      </c>
    </row>
    <row r="338" spans="1:4" x14ac:dyDescent="0.25">
      <c r="A338">
        <f>IF('Labeled Data'!J338=1, 1, "")</f>
        <v>1</v>
      </c>
      <c r="B338" s="5">
        <v>336</v>
      </c>
      <c r="C338" t="s">
        <v>351</v>
      </c>
      <c r="D338" t="str">
        <f>IF('Labeled Data'!W338=1, 'Labeled Data'!Y338, "")</f>
        <v>AMBIGUOUS</v>
      </c>
    </row>
    <row r="339" spans="1:4" x14ac:dyDescent="0.25">
      <c r="A339" t="str">
        <f>IF('Labeled Data'!J339=1, 1, "")</f>
        <v/>
      </c>
      <c r="B339" s="5">
        <v>337</v>
      </c>
      <c r="C339" t="s">
        <v>352</v>
      </c>
      <c r="D339" t="str">
        <f>IF('Labeled Data'!W339=1, 'Labeled Data'!Y339, "")</f>
        <v>joy</v>
      </c>
    </row>
    <row r="340" spans="1:4" x14ac:dyDescent="0.25">
      <c r="A340" t="str">
        <f>IF('Labeled Data'!J340=1, 1, "")</f>
        <v/>
      </c>
      <c r="B340" s="5">
        <v>338</v>
      </c>
      <c r="C340" t="s">
        <v>353</v>
      </c>
      <c r="D340" t="str">
        <f>IF('Labeled Data'!W340=1, 'Labeled Data'!Y340, "")</f>
        <v>joy</v>
      </c>
    </row>
    <row r="341" spans="1:4" x14ac:dyDescent="0.25">
      <c r="A341">
        <f>IF('Labeled Data'!J341=1, 1, "")</f>
        <v>1</v>
      </c>
      <c r="B341" s="5">
        <v>339</v>
      </c>
      <c r="C341" t="s">
        <v>354</v>
      </c>
      <c r="D341" t="str">
        <f>IF('Labeled Data'!W341=1, 'Labeled Data'!Y341, "")</f>
        <v>surprise</v>
      </c>
    </row>
    <row r="342" spans="1:4" x14ac:dyDescent="0.25">
      <c r="A342" t="str">
        <f>IF('Labeled Data'!J342=1, 1, "")</f>
        <v/>
      </c>
      <c r="B342" s="5">
        <v>340</v>
      </c>
      <c r="C342" t="s">
        <v>355</v>
      </c>
      <c r="D342" t="str">
        <f>IF('Labeled Data'!W342=1, 'Labeled Data'!Y342, "")</f>
        <v>joy</v>
      </c>
    </row>
    <row r="343" spans="1:4" x14ac:dyDescent="0.25">
      <c r="A343">
        <f>IF('Labeled Data'!J343=1, 1, "")</f>
        <v>1</v>
      </c>
      <c r="B343" s="5">
        <v>341</v>
      </c>
      <c r="C343" t="s">
        <v>356</v>
      </c>
      <c r="D343" t="str">
        <f>IF('Labeled Data'!W343=1, 'Labeled Data'!Y343, "")</f>
        <v>sadness</v>
      </c>
    </row>
    <row r="344" spans="1:4" x14ac:dyDescent="0.25">
      <c r="A344">
        <f>IF('Labeled Data'!J344=1, 1, "")</f>
        <v>1</v>
      </c>
      <c r="B344" s="5">
        <v>342</v>
      </c>
      <c r="C344" t="s">
        <v>357</v>
      </c>
      <c r="D344" t="str">
        <f>IF('Labeled Data'!W344=1, 'Labeled Data'!Y344, "")</f>
        <v>joy</v>
      </c>
    </row>
    <row r="345" spans="1:4" x14ac:dyDescent="0.25">
      <c r="A345">
        <f>IF('Labeled Data'!J345=1, 1, "")</f>
        <v>1</v>
      </c>
      <c r="B345" s="5">
        <v>343</v>
      </c>
      <c r="C345" t="s">
        <v>358</v>
      </c>
      <c r="D345" t="str">
        <f>IF('Labeled Data'!W345=1, 'Labeled Data'!Y345, "")</f>
        <v>anticipation</v>
      </c>
    </row>
    <row r="346" spans="1:4" x14ac:dyDescent="0.25">
      <c r="A346" t="str">
        <f>IF('Labeled Data'!J346=1, 1, "")</f>
        <v/>
      </c>
      <c r="B346" s="5">
        <v>344</v>
      </c>
      <c r="C346" t="s">
        <v>359</v>
      </c>
      <c r="D346" t="str">
        <f>IF('Labeled Data'!W346=1, 'Labeled Data'!Y346, "")</f>
        <v>joy</v>
      </c>
    </row>
    <row r="347" spans="1:4" x14ac:dyDescent="0.25">
      <c r="A347">
        <f>IF('Labeled Data'!J347=1, 1, "")</f>
        <v>1</v>
      </c>
      <c r="B347" s="5">
        <v>345</v>
      </c>
      <c r="C347" t="s">
        <v>360</v>
      </c>
      <c r="D347" t="str">
        <f>IF('Labeled Data'!W347=1, 'Labeled Data'!Y347, "")</f>
        <v>joy</v>
      </c>
    </row>
    <row r="348" spans="1:4" x14ac:dyDescent="0.25">
      <c r="A348" t="str">
        <f>IF('Labeled Data'!J348=1, 1, "")</f>
        <v/>
      </c>
      <c r="B348" s="5">
        <v>346</v>
      </c>
      <c r="C348" t="s">
        <v>361</v>
      </c>
      <c r="D348" t="str">
        <f>IF('Labeled Data'!W348=1, 'Labeled Data'!Y348, "")</f>
        <v>joy</v>
      </c>
    </row>
    <row r="349" spans="1:4" x14ac:dyDescent="0.25">
      <c r="A349">
        <f>IF('Labeled Data'!J349=1, 1, "")</f>
        <v>1</v>
      </c>
      <c r="B349" s="5">
        <v>347</v>
      </c>
      <c r="C349" t="s">
        <v>362</v>
      </c>
      <c r="D349" t="str">
        <f>IF('Labeled Data'!W349=1, 'Labeled Data'!Y349, "")</f>
        <v>anticipation</v>
      </c>
    </row>
    <row r="350" spans="1:4" x14ac:dyDescent="0.25">
      <c r="A350">
        <f>IF('Labeled Data'!J350=1, 1, "")</f>
        <v>1</v>
      </c>
      <c r="B350" s="5">
        <v>348</v>
      </c>
      <c r="C350" t="s">
        <v>363</v>
      </c>
      <c r="D350" t="str">
        <f>IF('Labeled Data'!W350=1, 'Labeled Data'!Y350, "")</f>
        <v>joy</v>
      </c>
    </row>
    <row r="351" spans="1:4" x14ac:dyDescent="0.25">
      <c r="A351">
        <f>IF('Labeled Data'!J351=1, 1, "")</f>
        <v>1</v>
      </c>
      <c r="B351" s="5">
        <v>349</v>
      </c>
      <c r="C351" t="s">
        <v>364</v>
      </c>
      <c r="D351" t="str">
        <f>IF('Labeled Data'!W351=1, 'Labeled Data'!Y351, "")</f>
        <v>sadness</v>
      </c>
    </row>
    <row r="352" spans="1:4" x14ac:dyDescent="0.25">
      <c r="A352">
        <f>IF('Labeled Data'!J352=1, 1, "")</f>
        <v>1</v>
      </c>
      <c r="B352" s="5">
        <v>350</v>
      </c>
      <c r="C352" t="s">
        <v>365</v>
      </c>
      <c r="D352" t="str">
        <f>IF('Labeled Data'!W352=1, 'Labeled Data'!Y352, "")</f>
        <v>trust</v>
      </c>
    </row>
    <row r="353" spans="1:4" x14ac:dyDescent="0.25">
      <c r="A353">
        <f>IF('Labeled Data'!J353=1, 1, "")</f>
        <v>1</v>
      </c>
      <c r="B353" s="5">
        <v>351</v>
      </c>
      <c r="C353" t="s">
        <v>366</v>
      </c>
      <c r="D353" t="str">
        <f>IF('Labeled Data'!W353=1, 'Labeled Data'!Y353, "")</f>
        <v>trust</v>
      </c>
    </row>
    <row r="354" spans="1:4" x14ac:dyDescent="0.25">
      <c r="A354">
        <f>IF('Labeled Data'!J354=1, 1, "")</f>
        <v>1</v>
      </c>
      <c r="B354" s="5">
        <v>352</v>
      </c>
      <c r="C354" t="s">
        <v>367</v>
      </c>
      <c r="D354" t="str">
        <f>IF('Labeled Data'!W354=1, 'Labeled Data'!Y354, "")</f>
        <v>joy</v>
      </c>
    </row>
    <row r="355" spans="1:4" x14ac:dyDescent="0.25">
      <c r="A355" t="str">
        <f>IF('Labeled Data'!J355=1, 1, "")</f>
        <v/>
      </c>
      <c r="B355" s="5">
        <v>353</v>
      </c>
      <c r="C355" t="s">
        <v>368</v>
      </c>
      <c r="D355" t="str">
        <f>IF('Labeled Data'!W355=1, 'Labeled Data'!Y355, "")</f>
        <v>joy</v>
      </c>
    </row>
    <row r="356" spans="1:4" x14ac:dyDescent="0.25">
      <c r="A356">
        <f>IF('Labeled Data'!J356=1, 1, "")</f>
        <v>1</v>
      </c>
      <c r="B356" s="5">
        <v>354</v>
      </c>
      <c r="C356" t="s">
        <v>369</v>
      </c>
      <c r="D356" t="str">
        <f>IF('Labeled Data'!W356=1, 'Labeled Data'!Y356, "")</f>
        <v>disgust</v>
      </c>
    </row>
    <row r="357" spans="1:4" x14ac:dyDescent="0.25">
      <c r="A357" t="str">
        <f>IF('Labeled Data'!J357=1, 1, "")</f>
        <v/>
      </c>
      <c r="B357" s="5">
        <v>355</v>
      </c>
      <c r="C357" t="s">
        <v>370</v>
      </c>
      <c r="D357" t="str">
        <f>IF('Labeled Data'!W357=1, 'Labeled Data'!Y357, "")</f>
        <v>joy</v>
      </c>
    </row>
    <row r="358" spans="1:4" x14ac:dyDescent="0.25">
      <c r="A358" t="str">
        <f>IF('Labeled Data'!J358=1, 1, "")</f>
        <v/>
      </c>
      <c r="B358" s="5">
        <v>356</v>
      </c>
      <c r="C358" t="s">
        <v>371</v>
      </c>
      <c r="D358" t="str">
        <f>IF('Labeled Data'!W358=1, 'Labeled Data'!Y358, "")</f>
        <v>joy</v>
      </c>
    </row>
    <row r="359" spans="1:4" x14ac:dyDescent="0.25">
      <c r="A359">
        <f>IF('Labeled Data'!J359=1, 1, "")</f>
        <v>1</v>
      </c>
      <c r="B359" s="5">
        <v>357</v>
      </c>
      <c r="C359" t="s">
        <v>372</v>
      </c>
      <c r="D359" t="str">
        <f>IF('Labeled Data'!W359=1, 'Labeled Data'!Y359, "")</f>
        <v>sadness</v>
      </c>
    </row>
    <row r="360" spans="1:4" x14ac:dyDescent="0.25">
      <c r="A360">
        <f>IF('Labeled Data'!J360=1, 1, "")</f>
        <v>1</v>
      </c>
      <c r="B360" s="5">
        <v>358</v>
      </c>
      <c r="C360" t="s">
        <v>373</v>
      </c>
      <c r="D360" t="str">
        <f>IF('Labeled Data'!W360=1, 'Labeled Data'!Y360, "")</f>
        <v>anticipation</v>
      </c>
    </row>
    <row r="361" spans="1:4" x14ac:dyDescent="0.25">
      <c r="A361">
        <f>IF('Labeled Data'!J361=1, 1, "")</f>
        <v>1</v>
      </c>
      <c r="B361" s="5">
        <v>359</v>
      </c>
      <c r="C361" t="s">
        <v>374</v>
      </c>
      <c r="D361" t="str">
        <f>IF('Labeled Data'!W361=1, 'Labeled Data'!Y361, "")</f>
        <v>sadness</v>
      </c>
    </row>
    <row r="362" spans="1:4" x14ac:dyDescent="0.25">
      <c r="A362" t="str">
        <f>IF('Labeled Data'!J362=1, 1, "")</f>
        <v/>
      </c>
      <c r="B362" s="5">
        <v>360</v>
      </c>
      <c r="C362" t="s">
        <v>375</v>
      </c>
      <c r="D362" t="str">
        <f>IF('Labeled Data'!W362=1, 'Labeled Data'!Y362, "")</f>
        <v>joy</v>
      </c>
    </row>
    <row r="363" spans="1:4" x14ac:dyDescent="0.25">
      <c r="A363" t="str">
        <f>IF('Labeled Data'!J363=1, 1, "")</f>
        <v/>
      </c>
      <c r="B363" s="5">
        <v>361</v>
      </c>
      <c r="C363" t="s">
        <v>376</v>
      </c>
      <c r="D363" t="str">
        <f>IF('Labeled Data'!W363=1, 'Labeled Data'!Y363, "")</f>
        <v>joy</v>
      </c>
    </row>
    <row r="364" spans="1:4" x14ac:dyDescent="0.25">
      <c r="A364">
        <f>IF('Labeled Data'!J364=1, 1, "")</f>
        <v>1</v>
      </c>
      <c r="B364" s="5">
        <v>362</v>
      </c>
      <c r="C364" t="s">
        <v>377</v>
      </c>
      <c r="D364" t="str">
        <f>IF('Labeled Data'!W364=1, 'Labeled Data'!Y364, "")</f>
        <v>anticipation</v>
      </c>
    </row>
    <row r="365" spans="1:4" x14ac:dyDescent="0.25">
      <c r="A365">
        <f>IF('Labeled Data'!J365=1, 1, "")</f>
        <v>1</v>
      </c>
      <c r="B365" s="5">
        <v>363</v>
      </c>
      <c r="C365" t="s">
        <v>378</v>
      </c>
      <c r="D365" t="str">
        <f>IF('Labeled Data'!W365=1, 'Labeled Data'!Y365, "")</f>
        <v>AMBIGUOUS</v>
      </c>
    </row>
    <row r="366" spans="1:4" x14ac:dyDescent="0.25">
      <c r="A366" t="str">
        <f>IF('Labeled Data'!J366=1, 1, "")</f>
        <v/>
      </c>
      <c r="B366" s="5">
        <v>364</v>
      </c>
      <c r="C366" t="s">
        <v>379</v>
      </c>
      <c r="D366" t="str">
        <f>IF('Labeled Data'!W366=1, 'Labeled Data'!Y366, "")</f>
        <v>disgust</v>
      </c>
    </row>
    <row r="367" spans="1:4" x14ac:dyDescent="0.25">
      <c r="A367">
        <f>IF('Labeled Data'!J367=1, 1, "")</f>
        <v>1</v>
      </c>
      <c r="B367" s="5">
        <v>365</v>
      </c>
      <c r="C367" t="s">
        <v>380</v>
      </c>
      <c r="D367" t="str">
        <f>IF('Labeled Data'!W367=1, 'Labeled Data'!Y367, "")</f>
        <v>sadness</v>
      </c>
    </row>
    <row r="368" spans="1:4" x14ac:dyDescent="0.25">
      <c r="A368">
        <f>IF('Labeled Data'!J368=1, 1, "")</f>
        <v>1</v>
      </c>
      <c r="B368" s="5">
        <v>366</v>
      </c>
      <c r="C368" t="s">
        <v>381</v>
      </c>
      <c r="D368" t="str">
        <f>IF('Labeled Data'!W368=1, 'Labeled Data'!Y368, "")</f>
        <v>anticipation</v>
      </c>
    </row>
    <row r="369" spans="1:4" x14ac:dyDescent="0.25">
      <c r="A369" t="str">
        <f>IF('Labeled Data'!J369=1, 1, "")</f>
        <v/>
      </c>
      <c r="B369" s="5">
        <v>367</v>
      </c>
      <c r="C369" t="s">
        <v>382</v>
      </c>
      <c r="D369" t="str">
        <f>IF('Labeled Data'!W369=1, 'Labeled Data'!Y369, "")</f>
        <v>joy</v>
      </c>
    </row>
    <row r="370" spans="1:4" x14ac:dyDescent="0.25">
      <c r="A370" t="str">
        <f>IF('Labeled Data'!J370=1, 1, "")</f>
        <v/>
      </c>
      <c r="B370" s="5">
        <v>368</v>
      </c>
      <c r="C370" t="s">
        <v>383</v>
      </c>
      <c r="D370" t="str">
        <f>IF('Labeled Data'!W370=1, 'Labeled Data'!Y370, "")</f>
        <v>joy</v>
      </c>
    </row>
    <row r="371" spans="1:4" x14ac:dyDescent="0.25">
      <c r="A371" t="str">
        <f>IF('Labeled Data'!J371=1, 1, "")</f>
        <v/>
      </c>
      <c r="B371" s="5">
        <v>369</v>
      </c>
      <c r="C371" t="s">
        <v>384</v>
      </c>
      <c r="D371" t="str">
        <f>IF('Labeled Data'!W371=1, 'Labeled Data'!Y371, "")</f>
        <v>trust</v>
      </c>
    </row>
    <row r="372" spans="1:4" x14ac:dyDescent="0.25">
      <c r="A372">
        <f>IF('Labeled Data'!J372=1, 1, "")</f>
        <v>1</v>
      </c>
      <c r="B372" s="5">
        <v>370</v>
      </c>
      <c r="C372" t="s">
        <v>385</v>
      </c>
      <c r="D372" t="str">
        <f>IF('Labeled Data'!W372=1, 'Labeled Data'!Y372, "")</f>
        <v>anticipation</v>
      </c>
    </row>
    <row r="373" spans="1:4" x14ac:dyDescent="0.25">
      <c r="A373">
        <f>IF('Labeled Data'!J373=1, 1, "")</f>
        <v>1</v>
      </c>
      <c r="B373" s="5">
        <v>371</v>
      </c>
      <c r="C373" t="s">
        <v>386</v>
      </c>
      <c r="D373" t="str">
        <f>IF('Labeled Data'!W373=1, 'Labeled Data'!Y373, "")</f>
        <v>anticipation</v>
      </c>
    </row>
    <row r="374" spans="1:4" x14ac:dyDescent="0.25">
      <c r="A374">
        <f>IF('Labeled Data'!J374=1, 1, "")</f>
        <v>1</v>
      </c>
      <c r="B374" s="5">
        <v>372</v>
      </c>
      <c r="C374" t="s">
        <v>387</v>
      </c>
      <c r="D374" t="str">
        <f>IF('Labeled Data'!W374=1, 'Labeled Data'!Y374, "")</f>
        <v>joy</v>
      </c>
    </row>
    <row r="375" spans="1:4" x14ac:dyDescent="0.25">
      <c r="A375">
        <f>IF('Labeled Data'!J375=1, 1, "")</f>
        <v>1</v>
      </c>
      <c r="B375" s="5">
        <v>373</v>
      </c>
      <c r="C375" t="s">
        <v>388</v>
      </c>
      <c r="D375" t="str">
        <f>IF('Labeled Data'!W375=1, 'Labeled Data'!Y375, "")</f>
        <v>AMBIGUOUS</v>
      </c>
    </row>
    <row r="376" spans="1:4" x14ac:dyDescent="0.25">
      <c r="A376">
        <f>IF('Labeled Data'!J376=1, 1, "")</f>
        <v>1</v>
      </c>
      <c r="B376" s="5">
        <v>374</v>
      </c>
      <c r="C376" t="s">
        <v>389</v>
      </c>
      <c r="D376" t="str">
        <f>IF('Labeled Data'!W376=1, 'Labeled Data'!Y376, "")</f>
        <v>AMBIGUOUS</v>
      </c>
    </row>
    <row r="377" spans="1:4" x14ac:dyDescent="0.25">
      <c r="A377">
        <f>IF('Labeled Data'!J377=1, 1, "")</f>
        <v>1</v>
      </c>
      <c r="B377" s="5">
        <v>375</v>
      </c>
      <c r="C377" t="s">
        <v>390</v>
      </c>
      <c r="D377" t="str">
        <f>IF('Labeled Data'!W377=1, 'Labeled Data'!Y377, "")</f>
        <v>AMBIGUOUS</v>
      </c>
    </row>
    <row r="378" spans="1:4" x14ac:dyDescent="0.25">
      <c r="A378">
        <f>IF('Labeled Data'!J378=1, 1, "")</f>
        <v>1</v>
      </c>
      <c r="B378" s="5">
        <v>376</v>
      </c>
      <c r="C378" t="s">
        <v>391</v>
      </c>
      <c r="D378" t="str">
        <f>IF('Labeled Data'!W378=1, 'Labeled Data'!Y378, "")</f>
        <v>AMBIGUOUS</v>
      </c>
    </row>
    <row r="379" spans="1:4" x14ac:dyDescent="0.25">
      <c r="A379">
        <f>IF('Labeled Data'!J379=1, 1, "")</f>
        <v>1</v>
      </c>
      <c r="B379" s="5">
        <v>377</v>
      </c>
      <c r="C379" t="s">
        <v>392</v>
      </c>
      <c r="D379" t="str">
        <f>IF('Labeled Data'!W379=1, 'Labeled Data'!Y379, "")</f>
        <v>fear</v>
      </c>
    </row>
    <row r="380" spans="1:4" x14ac:dyDescent="0.25">
      <c r="A380">
        <f>IF('Labeled Data'!J380=1, 1, "")</f>
        <v>1</v>
      </c>
      <c r="B380" s="5">
        <v>378</v>
      </c>
      <c r="C380" t="s">
        <v>393</v>
      </c>
      <c r="D380" t="str">
        <f>IF('Labeled Data'!W380=1, 'Labeled Data'!Y380, "")</f>
        <v>sadness</v>
      </c>
    </row>
    <row r="381" spans="1:4" x14ac:dyDescent="0.25">
      <c r="A381">
        <f>IF('Labeled Data'!J381=1, 1, "")</f>
        <v>1</v>
      </c>
      <c r="B381" s="5">
        <v>379</v>
      </c>
      <c r="C381" t="s">
        <v>394</v>
      </c>
      <c r="D381" t="str">
        <f>IF('Labeled Data'!W381=1, 'Labeled Data'!Y381, "")</f>
        <v>joy</v>
      </c>
    </row>
    <row r="382" spans="1:4" x14ac:dyDescent="0.25">
      <c r="A382">
        <f>IF('Labeled Data'!J382=1, 1, "")</f>
        <v>1</v>
      </c>
      <c r="B382" s="5">
        <v>380</v>
      </c>
      <c r="C382" t="s">
        <v>395</v>
      </c>
      <c r="D382" t="str">
        <f>IF('Labeled Data'!W382=1, 'Labeled Data'!Y382, "")</f>
        <v>AMBIGUOUS</v>
      </c>
    </row>
    <row r="383" spans="1:4" x14ac:dyDescent="0.25">
      <c r="A383">
        <f>IF('Labeled Data'!J383=1, 1, "")</f>
        <v>1</v>
      </c>
      <c r="B383" s="5">
        <v>381</v>
      </c>
      <c r="C383" t="s">
        <v>396</v>
      </c>
      <c r="D383" t="str">
        <f>IF('Labeled Data'!W383=1, 'Labeled Data'!Y383, "")</f>
        <v>AMBIGUOUS</v>
      </c>
    </row>
    <row r="384" spans="1:4" x14ac:dyDescent="0.25">
      <c r="A384">
        <f>IF('Labeled Data'!J384=1, 1, "")</f>
        <v>1</v>
      </c>
      <c r="B384" s="5">
        <v>382</v>
      </c>
      <c r="C384" t="s">
        <v>397</v>
      </c>
      <c r="D384" t="str">
        <f>IF('Labeled Data'!W384=1, 'Labeled Data'!Y384, "")</f>
        <v>AMBIGUOUS</v>
      </c>
    </row>
    <row r="385" spans="1:4" x14ac:dyDescent="0.25">
      <c r="A385">
        <f>IF('Labeled Data'!J385=1, 1, "")</f>
        <v>1</v>
      </c>
      <c r="B385" s="5">
        <v>383</v>
      </c>
      <c r="C385" t="s">
        <v>398</v>
      </c>
      <c r="D385" t="str">
        <f>IF('Labeled Data'!W385=1, 'Labeled Data'!Y385, "")</f>
        <v>joy</v>
      </c>
    </row>
    <row r="386" spans="1:4" x14ac:dyDescent="0.25">
      <c r="A386">
        <f>IF('Labeled Data'!J386=1, 1, "")</f>
        <v>1</v>
      </c>
      <c r="B386" s="5">
        <v>384</v>
      </c>
      <c r="C386" t="s">
        <v>399</v>
      </c>
      <c r="D386" t="str">
        <f>IF('Labeled Data'!W386=1, 'Labeled Data'!Y386, "")</f>
        <v>sadness</v>
      </c>
    </row>
    <row r="387" spans="1:4" x14ac:dyDescent="0.25">
      <c r="A387">
        <f>IF('Labeled Data'!J387=1, 1, "")</f>
        <v>1</v>
      </c>
      <c r="B387" s="5">
        <v>385</v>
      </c>
      <c r="C387" t="s">
        <v>400</v>
      </c>
      <c r="D387" t="str">
        <f>IF('Labeled Data'!W387=1, 'Labeled Data'!Y387, "")</f>
        <v>sadness</v>
      </c>
    </row>
    <row r="388" spans="1:4" x14ac:dyDescent="0.25">
      <c r="A388">
        <f>IF('Labeled Data'!J388=1, 1, "")</f>
        <v>1</v>
      </c>
      <c r="B388" s="5">
        <v>386</v>
      </c>
      <c r="C388" t="s">
        <v>401</v>
      </c>
      <c r="D388" t="str">
        <f>IF('Labeled Data'!W388=1, 'Labeled Data'!Y388, "")</f>
        <v>joy</v>
      </c>
    </row>
    <row r="389" spans="1:4" x14ac:dyDescent="0.25">
      <c r="A389">
        <f>IF('Labeled Data'!J389=1, 1, "")</f>
        <v>1</v>
      </c>
      <c r="B389" s="5">
        <v>387</v>
      </c>
      <c r="C389" t="s">
        <v>402</v>
      </c>
      <c r="D389" t="str">
        <f>IF('Labeled Data'!W389=1, 'Labeled Data'!Y389, "")</f>
        <v>trust</v>
      </c>
    </row>
    <row r="390" spans="1:4" x14ac:dyDescent="0.25">
      <c r="A390">
        <f>IF('Labeled Data'!J390=1, 1, "")</f>
        <v>1</v>
      </c>
      <c r="B390" s="5">
        <v>388</v>
      </c>
      <c r="C390" t="s">
        <v>403</v>
      </c>
      <c r="D390" t="str">
        <f>IF('Labeled Data'!W390=1, 'Labeled Data'!Y390, "")</f>
        <v>joy</v>
      </c>
    </row>
    <row r="391" spans="1:4" x14ac:dyDescent="0.25">
      <c r="A391">
        <f>IF('Labeled Data'!J391=1, 1, "")</f>
        <v>1</v>
      </c>
      <c r="B391" s="5">
        <v>389</v>
      </c>
      <c r="C391" t="s">
        <v>404</v>
      </c>
      <c r="D391" t="str">
        <f>IF('Labeled Data'!W391=1, 'Labeled Data'!Y391, "")</f>
        <v>joy</v>
      </c>
    </row>
    <row r="392" spans="1:4" x14ac:dyDescent="0.25">
      <c r="A392" t="str">
        <f>IF('Labeled Data'!J392=1, 1, "")</f>
        <v/>
      </c>
      <c r="B392" s="5">
        <v>390</v>
      </c>
      <c r="C392" t="s">
        <v>405</v>
      </c>
      <c r="D392" t="str">
        <f>IF('Labeled Data'!W392=1, 'Labeled Data'!Y392, "")</f>
        <v>joy</v>
      </c>
    </row>
    <row r="393" spans="1:4" x14ac:dyDescent="0.25">
      <c r="A393" t="str">
        <f>IF('Labeled Data'!J393=1, 1, "")</f>
        <v/>
      </c>
      <c r="B393" s="5">
        <v>391</v>
      </c>
      <c r="C393" t="s">
        <v>406</v>
      </c>
      <c r="D393" t="str">
        <f>IF('Labeled Data'!W393=1, 'Labeled Data'!Y393, "")</f>
        <v>joy</v>
      </c>
    </row>
    <row r="394" spans="1:4" x14ac:dyDescent="0.25">
      <c r="A394" t="str">
        <f>IF('Labeled Data'!J394=1, 1, "")</f>
        <v/>
      </c>
      <c r="B394" s="5">
        <v>392</v>
      </c>
      <c r="C394" t="s">
        <v>407</v>
      </c>
      <c r="D394" t="str">
        <f>IF('Labeled Data'!W394=1, 'Labeled Data'!Y394, "")</f>
        <v>joy</v>
      </c>
    </row>
    <row r="395" spans="1:4" x14ac:dyDescent="0.25">
      <c r="A395" t="str">
        <f>IF('Labeled Data'!J395=1, 1, "")</f>
        <v/>
      </c>
      <c r="B395" s="5">
        <v>393</v>
      </c>
      <c r="C395" t="s">
        <v>408</v>
      </c>
      <c r="D395" t="str">
        <f>IF('Labeled Data'!W395=1, 'Labeled Data'!Y395, "")</f>
        <v>joy</v>
      </c>
    </row>
    <row r="396" spans="1:4" x14ac:dyDescent="0.25">
      <c r="A396" t="str">
        <f>IF('Labeled Data'!J396=1, 1, "")</f>
        <v/>
      </c>
      <c r="B396" s="5">
        <v>394</v>
      </c>
      <c r="C396" t="s">
        <v>409</v>
      </c>
      <c r="D396" t="str">
        <f>IF('Labeled Data'!W396=1, 'Labeled Data'!Y396, "")</f>
        <v>joy</v>
      </c>
    </row>
    <row r="397" spans="1:4" x14ac:dyDescent="0.25">
      <c r="A397" t="str">
        <f>IF('Labeled Data'!J397=1, 1, "")</f>
        <v/>
      </c>
      <c r="B397" s="5">
        <v>395</v>
      </c>
      <c r="C397" t="s">
        <v>410</v>
      </c>
      <c r="D397" t="str">
        <f>IF('Labeled Data'!W397=1, 'Labeled Data'!Y397, "")</f>
        <v>joy</v>
      </c>
    </row>
    <row r="398" spans="1:4" x14ac:dyDescent="0.25">
      <c r="A398">
        <f>IF('Labeled Data'!J398=1, 1, "")</f>
        <v>1</v>
      </c>
      <c r="B398" s="5">
        <v>396</v>
      </c>
      <c r="C398" t="s">
        <v>411</v>
      </c>
      <c r="D398" t="str">
        <f>IF('Labeled Data'!W398=1, 'Labeled Data'!Y398, "")</f>
        <v>sadness</v>
      </c>
    </row>
    <row r="399" spans="1:4" x14ac:dyDescent="0.25">
      <c r="A399">
        <f>IF('Labeled Data'!J399=1, 1, "")</f>
        <v>1</v>
      </c>
      <c r="B399" s="5">
        <v>397</v>
      </c>
      <c r="C399" t="s">
        <v>412</v>
      </c>
      <c r="D399" t="str">
        <f>IF('Labeled Data'!W399=1, 'Labeled Data'!Y399, "")</f>
        <v>sadness</v>
      </c>
    </row>
    <row r="400" spans="1:4" x14ac:dyDescent="0.25">
      <c r="A400" t="str">
        <f>IF('Labeled Data'!J400=1, 1, "")</f>
        <v/>
      </c>
      <c r="B400" s="5">
        <v>398</v>
      </c>
      <c r="C400" t="s">
        <v>413</v>
      </c>
      <c r="D400" t="str">
        <f>IF('Labeled Data'!W400=1, 'Labeled Data'!Y400, "")</f>
        <v>joy</v>
      </c>
    </row>
    <row r="401" spans="1:4" x14ac:dyDescent="0.25">
      <c r="A401" t="str">
        <f>IF('Labeled Data'!J401=1, 1, "")</f>
        <v/>
      </c>
      <c r="B401" s="5">
        <v>399</v>
      </c>
      <c r="C401" t="s">
        <v>414</v>
      </c>
      <c r="D401" t="str">
        <f>IF('Labeled Data'!W401=1, 'Labeled Data'!Y401, "")</f>
        <v>joy</v>
      </c>
    </row>
    <row r="402" spans="1:4" x14ac:dyDescent="0.25">
      <c r="A402" t="str">
        <f>IF('Labeled Data'!J402=1, 1, "")</f>
        <v/>
      </c>
      <c r="B402" s="5">
        <v>400</v>
      </c>
      <c r="C402" t="s">
        <v>415</v>
      </c>
      <c r="D402" t="str">
        <f>IF('Labeled Data'!W402=1, 'Labeled Data'!Y402, "")</f>
        <v>joy</v>
      </c>
    </row>
    <row r="403" spans="1:4" x14ac:dyDescent="0.25">
      <c r="A403">
        <f>IF('Labeled Data'!J403=1, 1, "")</f>
        <v>1</v>
      </c>
      <c r="B403" s="5">
        <v>401</v>
      </c>
      <c r="C403" t="s">
        <v>416</v>
      </c>
      <c r="D403" t="str">
        <f>IF('Labeled Data'!W403=1, 'Labeled Data'!Y403, "")</f>
        <v>trust</v>
      </c>
    </row>
    <row r="404" spans="1:4" x14ac:dyDescent="0.25">
      <c r="A404">
        <f>IF('Labeled Data'!J404=1, 1, "")</f>
        <v>1</v>
      </c>
      <c r="B404" s="5">
        <v>402</v>
      </c>
      <c r="C404" t="s">
        <v>417</v>
      </c>
      <c r="D404" t="str">
        <f>IF('Labeled Data'!W404=1, 'Labeled Data'!Y404, "")</f>
        <v>joy</v>
      </c>
    </row>
    <row r="405" spans="1:4" x14ac:dyDescent="0.25">
      <c r="A405" t="str">
        <f>IF('Labeled Data'!J405=1, 1, "")</f>
        <v/>
      </c>
      <c r="B405" s="5">
        <v>403</v>
      </c>
      <c r="C405" t="s">
        <v>418</v>
      </c>
      <c r="D405" t="str">
        <f>IF('Labeled Data'!W405=1, 'Labeled Data'!Y405, "")</f>
        <v>joy</v>
      </c>
    </row>
    <row r="406" spans="1:4" x14ac:dyDescent="0.25">
      <c r="A406" t="str">
        <f>IF('Labeled Data'!J406=1, 1, "")</f>
        <v/>
      </c>
      <c r="B406" s="5">
        <v>404</v>
      </c>
      <c r="C406" t="s">
        <v>419</v>
      </c>
      <c r="D406" t="str">
        <f>IF('Labeled Data'!W406=1, 'Labeled Data'!Y406, "")</f>
        <v>joy</v>
      </c>
    </row>
    <row r="407" spans="1:4" x14ac:dyDescent="0.25">
      <c r="A407" t="str">
        <f>IF('Labeled Data'!J407=1, 1, "")</f>
        <v/>
      </c>
      <c r="B407" s="5">
        <v>405</v>
      </c>
      <c r="C407" t="s">
        <v>420</v>
      </c>
      <c r="D407" t="str">
        <f>IF('Labeled Data'!W407=1, 'Labeled Data'!Y407, "")</f>
        <v>joy</v>
      </c>
    </row>
    <row r="408" spans="1:4" x14ac:dyDescent="0.25">
      <c r="A408" t="str">
        <f>IF('Labeled Data'!J408=1, 1, "")</f>
        <v/>
      </c>
      <c r="B408" s="5">
        <v>406</v>
      </c>
      <c r="C408" t="s">
        <v>421</v>
      </c>
      <c r="D408" t="str">
        <f>IF('Labeled Data'!W408=1, 'Labeled Data'!Y408, "")</f>
        <v>trust</v>
      </c>
    </row>
    <row r="409" spans="1:4" x14ac:dyDescent="0.25">
      <c r="A409" t="str">
        <f>IF('Labeled Data'!J409=1, 1, "")</f>
        <v/>
      </c>
      <c r="B409" s="5">
        <v>407</v>
      </c>
      <c r="C409" t="s">
        <v>422</v>
      </c>
      <c r="D409" t="str">
        <f>IF('Labeled Data'!W409=1, 'Labeled Data'!Y409, "")</f>
        <v>joy</v>
      </c>
    </row>
    <row r="410" spans="1:4" x14ac:dyDescent="0.25">
      <c r="A410" t="str">
        <f>IF('Labeled Data'!J410=1, 1, "")</f>
        <v/>
      </c>
      <c r="B410" s="5">
        <v>408</v>
      </c>
      <c r="C410" t="s">
        <v>423</v>
      </c>
      <c r="D410" t="str">
        <f>IF('Labeled Data'!W410=1, 'Labeled Data'!Y410, "")</f>
        <v>sadness</v>
      </c>
    </row>
    <row r="411" spans="1:4" x14ac:dyDescent="0.25">
      <c r="A411">
        <f>IF('Labeled Data'!J411=1, 1, "")</f>
        <v>1</v>
      </c>
      <c r="B411" s="5">
        <v>409</v>
      </c>
      <c r="C411" t="s">
        <v>424</v>
      </c>
      <c r="D411" t="str">
        <f>IF('Labeled Data'!W411=1, 'Labeled Data'!Y411, "")</f>
        <v>sadness</v>
      </c>
    </row>
    <row r="412" spans="1:4" x14ac:dyDescent="0.25">
      <c r="A412">
        <f>IF('Labeled Data'!J412=1, 1, "")</f>
        <v>1</v>
      </c>
      <c r="B412" s="5">
        <v>410</v>
      </c>
      <c r="C412" t="s">
        <v>425</v>
      </c>
      <c r="D412" t="str">
        <f>IF('Labeled Data'!W412=1, 'Labeled Data'!Y412, "")</f>
        <v>joy</v>
      </c>
    </row>
    <row r="413" spans="1:4" x14ac:dyDescent="0.25">
      <c r="A413">
        <f>IF('Labeled Data'!J413=1, 1, "")</f>
        <v>1</v>
      </c>
      <c r="B413" s="5">
        <v>411</v>
      </c>
      <c r="C413" t="s">
        <v>426</v>
      </c>
      <c r="D413" t="str">
        <f>IF('Labeled Data'!W413=1, 'Labeled Data'!Y413, "")</f>
        <v>joy</v>
      </c>
    </row>
    <row r="414" spans="1:4" x14ac:dyDescent="0.25">
      <c r="A414" t="str">
        <f>IF('Labeled Data'!J414=1, 1, "")</f>
        <v/>
      </c>
      <c r="B414" s="5">
        <v>412</v>
      </c>
      <c r="C414" t="s">
        <v>427</v>
      </c>
      <c r="D414" t="str">
        <f>IF('Labeled Data'!W414=1, 'Labeled Data'!Y414, "")</f>
        <v>joy</v>
      </c>
    </row>
    <row r="415" spans="1:4" x14ac:dyDescent="0.25">
      <c r="A415" t="str">
        <f>IF('Labeled Data'!J415=1, 1, "")</f>
        <v/>
      </c>
      <c r="B415" s="5">
        <v>413</v>
      </c>
      <c r="C415" t="s">
        <v>428</v>
      </c>
      <c r="D415" t="str">
        <f>IF('Labeled Data'!W415=1, 'Labeled Data'!Y415, "")</f>
        <v>AMBIGUOUS</v>
      </c>
    </row>
    <row r="416" spans="1:4" x14ac:dyDescent="0.25">
      <c r="A416">
        <f>IF('Labeled Data'!J416=1, 1, "")</f>
        <v>1</v>
      </c>
      <c r="B416" s="5">
        <v>414</v>
      </c>
      <c r="C416" t="s">
        <v>429</v>
      </c>
      <c r="D416" t="str">
        <f>IF('Labeled Data'!W416=1, 'Labeled Data'!Y416, "")</f>
        <v>trust</v>
      </c>
    </row>
    <row r="417" spans="1:4" x14ac:dyDescent="0.25">
      <c r="A417">
        <f>IF('Labeled Data'!J417=1, 1, "")</f>
        <v>1</v>
      </c>
      <c r="B417" s="5">
        <v>415</v>
      </c>
      <c r="C417" t="s">
        <v>430</v>
      </c>
      <c r="D417" t="str">
        <f>IF('Labeled Data'!W417=1, 'Labeled Data'!Y417, "")</f>
        <v>AMBIGUOUS</v>
      </c>
    </row>
    <row r="418" spans="1:4" x14ac:dyDescent="0.25">
      <c r="A418">
        <f>IF('Labeled Data'!J418=1, 1, "")</f>
        <v>1</v>
      </c>
      <c r="B418" s="5">
        <v>416</v>
      </c>
      <c r="C418" t="s">
        <v>431</v>
      </c>
      <c r="D418" t="str">
        <f>IF('Labeled Data'!W418=1, 'Labeled Data'!Y418, "")</f>
        <v>trust</v>
      </c>
    </row>
    <row r="419" spans="1:4" x14ac:dyDescent="0.25">
      <c r="A419">
        <f>IF('Labeled Data'!J419=1, 1, "")</f>
        <v>1</v>
      </c>
      <c r="B419" s="5">
        <v>417</v>
      </c>
      <c r="C419" t="s">
        <v>432</v>
      </c>
      <c r="D419" t="str">
        <f>IF('Labeled Data'!W419=1, 'Labeled Data'!Y419, "")</f>
        <v>sadness</v>
      </c>
    </row>
    <row r="420" spans="1:4" x14ac:dyDescent="0.25">
      <c r="A420">
        <f>IF('Labeled Data'!J420=1, 1, "")</f>
        <v>1</v>
      </c>
      <c r="B420" s="5">
        <v>418</v>
      </c>
      <c r="C420" t="s">
        <v>433</v>
      </c>
      <c r="D420" t="str">
        <f>IF('Labeled Data'!W420=1, 'Labeled Data'!Y420, "")</f>
        <v>sadness</v>
      </c>
    </row>
    <row r="421" spans="1:4" x14ac:dyDescent="0.25">
      <c r="A421" t="str">
        <f>IF('Labeled Data'!J421=1, 1, "")</f>
        <v/>
      </c>
      <c r="B421" s="5">
        <v>419</v>
      </c>
      <c r="C421" t="s">
        <v>434</v>
      </c>
      <c r="D421" t="str">
        <f>IF('Labeled Data'!W421=1, 'Labeled Data'!Y421, "")</f>
        <v>joy</v>
      </c>
    </row>
    <row r="422" spans="1:4" x14ac:dyDescent="0.25">
      <c r="A422" t="str">
        <f>IF('Labeled Data'!J422=1, 1, "")</f>
        <v/>
      </c>
      <c r="B422" s="5">
        <v>420</v>
      </c>
      <c r="C422" t="s">
        <v>435</v>
      </c>
      <c r="D422" t="str">
        <f>IF('Labeled Data'!W422=1, 'Labeled Data'!Y422, "")</f>
        <v>joy</v>
      </c>
    </row>
    <row r="423" spans="1:4" x14ac:dyDescent="0.25">
      <c r="A423" t="str">
        <f>IF('Labeled Data'!J423=1, 1, "")</f>
        <v/>
      </c>
      <c r="B423" s="5">
        <v>421</v>
      </c>
      <c r="C423" t="s">
        <v>436</v>
      </c>
      <c r="D423" t="str">
        <f>IF('Labeled Data'!W423=1, 'Labeled Data'!Y423, "")</f>
        <v>joy</v>
      </c>
    </row>
    <row r="424" spans="1:4" x14ac:dyDescent="0.25">
      <c r="A424" t="str">
        <f>IF('Labeled Data'!J424=1, 1, "")</f>
        <v/>
      </c>
      <c r="B424" s="5">
        <v>422</v>
      </c>
      <c r="C424" t="s">
        <v>437</v>
      </c>
      <c r="D424" t="str">
        <f>IF('Labeled Data'!W424=1, 'Labeled Data'!Y424, "")</f>
        <v>joy</v>
      </c>
    </row>
    <row r="425" spans="1:4" x14ac:dyDescent="0.25">
      <c r="A425" t="str">
        <f>IF('Labeled Data'!J425=1, 1, "")</f>
        <v/>
      </c>
      <c r="B425" s="5">
        <v>423</v>
      </c>
      <c r="C425" t="s">
        <v>438</v>
      </c>
      <c r="D425" t="str">
        <f>IF('Labeled Data'!W425=1, 'Labeled Data'!Y425, "")</f>
        <v>joy</v>
      </c>
    </row>
    <row r="426" spans="1:4" x14ac:dyDescent="0.25">
      <c r="A426">
        <f>IF('Labeled Data'!J426=1, 1, "")</f>
        <v>1</v>
      </c>
      <c r="B426" s="5">
        <v>424</v>
      </c>
      <c r="C426" t="s">
        <v>439</v>
      </c>
      <c r="D426" t="str">
        <f>IF('Labeled Data'!W426=1, 'Labeled Data'!Y426, "")</f>
        <v>surprise</v>
      </c>
    </row>
    <row r="427" spans="1:4" x14ac:dyDescent="0.25">
      <c r="A427" t="str">
        <f>IF('Labeled Data'!J427=1, 1, "")</f>
        <v/>
      </c>
      <c r="B427" s="5">
        <v>425</v>
      </c>
      <c r="C427" t="s">
        <v>440</v>
      </c>
      <c r="D427" t="str">
        <f>IF('Labeled Data'!W427=1, 'Labeled Data'!Y427, "")</f>
        <v>joy</v>
      </c>
    </row>
    <row r="428" spans="1:4" x14ac:dyDescent="0.25">
      <c r="A428">
        <f>IF('Labeled Data'!J428=1, 1, "")</f>
        <v>1</v>
      </c>
      <c r="B428" s="5">
        <v>426</v>
      </c>
      <c r="C428" t="s">
        <v>441</v>
      </c>
      <c r="D428" t="str">
        <f>IF('Labeled Data'!W428=1, 'Labeled Data'!Y428, "")</f>
        <v>joy</v>
      </c>
    </row>
    <row r="429" spans="1:4" x14ac:dyDescent="0.25">
      <c r="A429">
        <f>IF('Labeled Data'!J429=1, 1, "")</f>
        <v>1</v>
      </c>
      <c r="B429" s="5">
        <v>427</v>
      </c>
      <c r="C429" t="s">
        <v>442</v>
      </c>
      <c r="D429" t="str">
        <f>IF('Labeled Data'!W429=1, 'Labeled Data'!Y429, "")</f>
        <v>AMBIGUOUS</v>
      </c>
    </row>
    <row r="430" spans="1:4" x14ac:dyDescent="0.25">
      <c r="A430">
        <f>IF('Labeled Data'!J430=1, 1, "")</f>
        <v>1</v>
      </c>
      <c r="B430" s="5">
        <v>428</v>
      </c>
      <c r="C430" t="s">
        <v>443</v>
      </c>
      <c r="D430" t="str">
        <f>IF('Labeled Data'!W430=1, 'Labeled Data'!Y430, "")</f>
        <v>fear</v>
      </c>
    </row>
    <row r="431" spans="1:4" x14ac:dyDescent="0.25">
      <c r="A431">
        <f>IF('Labeled Data'!J431=1, 1, "")</f>
        <v>1</v>
      </c>
      <c r="B431" s="5">
        <v>429</v>
      </c>
      <c r="C431" t="s">
        <v>444</v>
      </c>
      <c r="D431" t="str">
        <f>IF('Labeled Data'!W431=1, 'Labeled Data'!Y431, "")</f>
        <v>AMBIGUOUS</v>
      </c>
    </row>
    <row r="432" spans="1:4" x14ac:dyDescent="0.25">
      <c r="A432" t="str">
        <f>IF('Labeled Data'!J432=1, 1, "")</f>
        <v/>
      </c>
      <c r="B432" s="5">
        <v>430</v>
      </c>
      <c r="C432" t="s">
        <v>445</v>
      </c>
      <c r="D432" t="str">
        <f>IF('Labeled Data'!W432=1, 'Labeled Data'!Y432, "")</f>
        <v>joy</v>
      </c>
    </row>
    <row r="433" spans="1:4" x14ac:dyDescent="0.25">
      <c r="A433" t="str">
        <f>IF('Labeled Data'!J433=1, 1, "")</f>
        <v/>
      </c>
      <c r="B433" s="5">
        <v>431</v>
      </c>
      <c r="C433" t="s">
        <v>446</v>
      </c>
      <c r="D433" t="str">
        <f>IF('Labeled Data'!W433=1, 'Labeled Data'!Y433, "")</f>
        <v>trust</v>
      </c>
    </row>
    <row r="434" spans="1:4" x14ac:dyDescent="0.25">
      <c r="A434" t="str">
        <f>IF('Labeled Data'!J434=1, 1, "")</f>
        <v/>
      </c>
      <c r="B434" s="5">
        <v>432</v>
      </c>
      <c r="C434" t="s">
        <v>447</v>
      </c>
      <c r="D434" t="str">
        <f>IF('Labeled Data'!W434=1, 'Labeled Data'!Y434, "")</f>
        <v>trust</v>
      </c>
    </row>
    <row r="435" spans="1:4" x14ac:dyDescent="0.25">
      <c r="A435" t="str">
        <f>IF('Labeled Data'!J435=1, 1, "")</f>
        <v/>
      </c>
      <c r="B435" s="5">
        <v>433</v>
      </c>
      <c r="C435" t="s">
        <v>448</v>
      </c>
      <c r="D435" t="str">
        <f>IF('Labeled Data'!W435=1, 'Labeled Data'!Y435, "")</f>
        <v>joy</v>
      </c>
    </row>
    <row r="436" spans="1:4" x14ac:dyDescent="0.25">
      <c r="A436" t="str">
        <f>IF('Labeled Data'!J436=1, 1, "")</f>
        <v/>
      </c>
      <c r="B436" s="5">
        <v>434</v>
      </c>
      <c r="C436" t="s">
        <v>449</v>
      </c>
      <c r="D436" t="str">
        <f>IF('Labeled Data'!W436=1, 'Labeled Data'!Y436, "")</f>
        <v>trust</v>
      </c>
    </row>
    <row r="437" spans="1:4" x14ac:dyDescent="0.25">
      <c r="A437">
        <f>IF('Labeled Data'!J437=1, 1, "")</f>
        <v>1</v>
      </c>
      <c r="B437" s="5">
        <v>435</v>
      </c>
      <c r="C437" t="s">
        <v>450</v>
      </c>
      <c r="D437" t="str">
        <f>IF('Labeled Data'!W437=1, 'Labeled Data'!Y437, "")</f>
        <v>trust</v>
      </c>
    </row>
    <row r="438" spans="1:4" x14ac:dyDescent="0.25">
      <c r="A438" t="str">
        <f>IF('Labeled Data'!J438=1, 1, "")</f>
        <v/>
      </c>
      <c r="B438" s="5">
        <v>436</v>
      </c>
      <c r="C438" t="s">
        <v>451</v>
      </c>
      <c r="D438" t="str">
        <f>IF('Labeled Data'!W438=1, 'Labeled Data'!Y438, "")</f>
        <v>joy</v>
      </c>
    </row>
    <row r="439" spans="1:4" x14ac:dyDescent="0.25">
      <c r="A439" t="str">
        <f>IF('Labeled Data'!J439=1, 1, "")</f>
        <v/>
      </c>
      <c r="B439" s="5">
        <v>437</v>
      </c>
      <c r="C439" t="s">
        <v>452</v>
      </c>
      <c r="D439" t="str">
        <f>IF('Labeled Data'!W439=1, 'Labeled Data'!Y439, "")</f>
        <v>joy</v>
      </c>
    </row>
    <row r="440" spans="1:4" x14ac:dyDescent="0.25">
      <c r="A440">
        <f>IF('Labeled Data'!J440=1, 1, "")</f>
        <v>1</v>
      </c>
      <c r="B440" s="5">
        <v>438</v>
      </c>
      <c r="C440" t="s">
        <v>453</v>
      </c>
      <c r="D440" t="str">
        <f>IF('Labeled Data'!W440=1, 'Labeled Data'!Y440, "")</f>
        <v>fear</v>
      </c>
    </row>
    <row r="441" spans="1:4" x14ac:dyDescent="0.25">
      <c r="A441">
        <f>IF('Labeled Data'!J441=1, 1, "")</f>
        <v>1</v>
      </c>
      <c r="B441" s="5">
        <v>439</v>
      </c>
      <c r="C441" t="s">
        <v>454</v>
      </c>
      <c r="D441" t="str">
        <f>IF('Labeled Data'!W441=1, 'Labeled Data'!Y441, "")</f>
        <v>sadness</v>
      </c>
    </row>
    <row r="442" spans="1:4" x14ac:dyDescent="0.25">
      <c r="A442">
        <f>IF('Labeled Data'!J442=1, 1, "")</f>
        <v>1</v>
      </c>
      <c r="B442" s="5">
        <v>440</v>
      </c>
      <c r="C442" t="s">
        <v>455</v>
      </c>
      <c r="D442" t="str">
        <f>IF('Labeled Data'!W442=1, 'Labeled Data'!Y442, "")</f>
        <v>sadness</v>
      </c>
    </row>
    <row r="443" spans="1:4" x14ac:dyDescent="0.25">
      <c r="A443" t="str">
        <f>IF('Labeled Data'!J443=1, 1, "")</f>
        <v/>
      </c>
      <c r="B443" s="5">
        <v>441</v>
      </c>
      <c r="C443" t="s">
        <v>456</v>
      </c>
      <c r="D443" t="str">
        <f>IF('Labeled Data'!W443=1, 'Labeled Data'!Y443, "")</f>
        <v>trust</v>
      </c>
    </row>
    <row r="444" spans="1:4" x14ac:dyDescent="0.25">
      <c r="A444" t="str">
        <f>IF('Labeled Data'!J444=1, 1, "")</f>
        <v/>
      </c>
      <c r="B444" s="5">
        <v>442</v>
      </c>
      <c r="C444" t="s">
        <v>457</v>
      </c>
      <c r="D444" t="str">
        <f>IF('Labeled Data'!W444=1, 'Labeled Data'!Y444, "")</f>
        <v>joy</v>
      </c>
    </row>
    <row r="445" spans="1:4" x14ac:dyDescent="0.25">
      <c r="A445" t="str">
        <f>IF('Labeled Data'!J445=1, 1, "")</f>
        <v/>
      </c>
      <c r="B445" s="5">
        <v>443</v>
      </c>
      <c r="C445" t="s">
        <v>458</v>
      </c>
      <c r="D445" t="str">
        <f>IF('Labeled Data'!W445=1, 'Labeled Data'!Y445, "")</f>
        <v>joy</v>
      </c>
    </row>
    <row r="446" spans="1:4" x14ac:dyDescent="0.25">
      <c r="A446">
        <f>IF('Labeled Data'!J446=1, 1, "")</f>
        <v>1</v>
      </c>
      <c r="B446" s="5">
        <v>444</v>
      </c>
      <c r="C446" t="s">
        <v>459</v>
      </c>
      <c r="D446" t="str">
        <f>IF('Labeled Data'!W446=1, 'Labeled Data'!Y446, "")</f>
        <v>trust</v>
      </c>
    </row>
    <row r="447" spans="1:4" x14ac:dyDescent="0.25">
      <c r="A447">
        <f>IF('Labeled Data'!J447=1, 1, "")</f>
        <v>1</v>
      </c>
      <c r="B447" s="5">
        <v>445</v>
      </c>
      <c r="C447" t="s">
        <v>460</v>
      </c>
      <c r="D447" t="str">
        <f>IF('Labeled Data'!W447=1, 'Labeled Data'!Y447, "")</f>
        <v>anticipation</v>
      </c>
    </row>
    <row r="448" spans="1:4" x14ac:dyDescent="0.25">
      <c r="A448" t="str">
        <f>IF('Labeled Data'!J448=1, 1, "")</f>
        <v/>
      </c>
      <c r="B448" s="5">
        <v>446</v>
      </c>
      <c r="C448" t="s">
        <v>461</v>
      </c>
      <c r="D448" t="str">
        <f>IF('Labeled Data'!W448=1, 'Labeled Data'!Y448, "")</f>
        <v>sadness</v>
      </c>
    </row>
    <row r="449" spans="1:4" x14ac:dyDescent="0.25">
      <c r="A449">
        <f>IF('Labeled Data'!J449=1, 1, "")</f>
        <v>1</v>
      </c>
      <c r="B449" s="5">
        <v>447</v>
      </c>
      <c r="C449" t="s">
        <v>462</v>
      </c>
      <c r="D449" t="str">
        <f>IF('Labeled Data'!W449=1, 'Labeled Data'!Y449, "")</f>
        <v>fear</v>
      </c>
    </row>
    <row r="450" spans="1:4" x14ac:dyDescent="0.25">
      <c r="A450">
        <f>IF('Labeled Data'!J450=1, 1, "")</f>
        <v>1</v>
      </c>
      <c r="B450" s="5">
        <v>448</v>
      </c>
      <c r="C450" t="s">
        <v>463</v>
      </c>
      <c r="D450" t="str">
        <f>IF('Labeled Data'!W450=1, 'Labeled Data'!Y450, "")</f>
        <v>sadness</v>
      </c>
    </row>
    <row r="451" spans="1:4" x14ac:dyDescent="0.25">
      <c r="A451" t="str">
        <f>IF('Labeled Data'!J451=1, 1, "")</f>
        <v/>
      </c>
      <c r="B451" s="5">
        <v>449</v>
      </c>
      <c r="C451" t="s">
        <v>464</v>
      </c>
      <c r="D451" t="str">
        <f>IF('Labeled Data'!W451=1, 'Labeled Data'!Y451, "")</f>
        <v>joy</v>
      </c>
    </row>
    <row r="452" spans="1:4" x14ac:dyDescent="0.25">
      <c r="A452" t="str">
        <f>IF('Labeled Data'!J452=1, 1, "")</f>
        <v/>
      </c>
      <c r="B452" s="5">
        <v>450</v>
      </c>
      <c r="C452" t="s">
        <v>465</v>
      </c>
      <c r="D452" t="str">
        <f>IF('Labeled Data'!W452=1, 'Labeled Data'!Y452, "")</f>
        <v>joy</v>
      </c>
    </row>
    <row r="453" spans="1:4" x14ac:dyDescent="0.25">
      <c r="A453" t="str">
        <f>IF('Labeled Data'!J453=1, 1, "")</f>
        <v/>
      </c>
      <c r="B453" s="5">
        <v>451</v>
      </c>
      <c r="C453" t="s">
        <v>466</v>
      </c>
      <c r="D453" t="str">
        <f>IF('Labeled Data'!W453=1, 'Labeled Data'!Y453, "")</f>
        <v>joy</v>
      </c>
    </row>
    <row r="454" spans="1:4" x14ac:dyDescent="0.25">
      <c r="A454" t="str">
        <f>IF('Labeled Data'!J454=1, 1, "")</f>
        <v/>
      </c>
      <c r="B454" s="5">
        <v>452</v>
      </c>
      <c r="C454" t="s">
        <v>467</v>
      </c>
      <c r="D454" t="str">
        <f>IF('Labeled Data'!W454=1, 'Labeled Data'!Y454, "")</f>
        <v>joy</v>
      </c>
    </row>
    <row r="455" spans="1:4" x14ac:dyDescent="0.25">
      <c r="A455" t="str">
        <f>IF('Labeled Data'!J455=1, 1, "")</f>
        <v/>
      </c>
      <c r="B455" s="5">
        <v>453</v>
      </c>
      <c r="C455" t="s">
        <v>468</v>
      </c>
      <c r="D455" t="str">
        <f>IF('Labeled Data'!W455=1, 'Labeled Data'!Y455, "")</f>
        <v>joy</v>
      </c>
    </row>
    <row r="456" spans="1:4" x14ac:dyDescent="0.25">
      <c r="A456" t="str">
        <f>IF('Labeled Data'!J456=1, 1, "")</f>
        <v/>
      </c>
      <c r="B456" s="5">
        <v>454</v>
      </c>
      <c r="C456" t="s">
        <v>469</v>
      </c>
      <c r="D456" t="str">
        <f>IF('Labeled Data'!W456=1, 'Labeled Data'!Y456, "")</f>
        <v>AMBIGUOUS</v>
      </c>
    </row>
    <row r="457" spans="1:4" x14ac:dyDescent="0.25">
      <c r="A457" t="str">
        <f>IF('Labeled Data'!J457=1, 1, "")</f>
        <v/>
      </c>
      <c r="B457" s="5">
        <v>455</v>
      </c>
      <c r="C457" t="s">
        <v>470</v>
      </c>
      <c r="D457" t="str">
        <f>IF('Labeled Data'!W457=1, 'Labeled Data'!Y457, "")</f>
        <v>trust</v>
      </c>
    </row>
    <row r="458" spans="1:4" x14ac:dyDescent="0.25">
      <c r="A458" t="str">
        <f>IF('Labeled Data'!J458=1, 1, "")</f>
        <v/>
      </c>
      <c r="B458" s="5">
        <v>456</v>
      </c>
      <c r="C458" t="s">
        <v>471</v>
      </c>
      <c r="D458" t="str">
        <f>IF('Labeled Data'!W458=1, 'Labeled Data'!Y458, "")</f>
        <v>joy</v>
      </c>
    </row>
    <row r="459" spans="1:4" x14ac:dyDescent="0.25">
      <c r="A459" t="str">
        <f>IF('Labeled Data'!J459=1, 1, "")</f>
        <v/>
      </c>
      <c r="B459" s="5">
        <v>457</v>
      </c>
      <c r="C459" t="s">
        <v>472</v>
      </c>
      <c r="D459" t="str">
        <f>IF('Labeled Data'!W459=1, 'Labeled Data'!Y459, "")</f>
        <v>joy</v>
      </c>
    </row>
    <row r="460" spans="1:4" x14ac:dyDescent="0.25">
      <c r="A460" t="str">
        <f>IF('Labeled Data'!J460=1, 1, "")</f>
        <v/>
      </c>
      <c r="B460" s="5">
        <v>458</v>
      </c>
      <c r="C460" t="s">
        <v>473</v>
      </c>
      <c r="D460" t="str">
        <f>IF('Labeled Data'!W460=1, 'Labeled Data'!Y460, "")</f>
        <v>trust</v>
      </c>
    </row>
    <row r="461" spans="1:4" x14ac:dyDescent="0.25">
      <c r="A461">
        <f>IF('Labeled Data'!J461=1, 1, "")</f>
        <v>1</v>
      </c>
      <c r="B461" s="5">
        <v>459</v>
      </c>
      <c r="C461" t="s">
        <v>474</v>
      </c>
      <c r="D461" t="str">
        <f>IF('Labeled Data'!W461=1, 'Labeled Data'!Y461, "")</f>
        <v>surprise</v>
      </c>
    </row>
    <row r="462" spans="1:4" x14ac:dyDescent="0.25">
      <c r="A462" t="str">
        <f>IF('Labeled Data'!J462=1, 1, "")</f>
        <v/>
      </c>
      <c r="B462" s="5">
        <v>460</v>
      </c>
      <c r="C462" t="s">
        <v>475</v>
      </c>
      <c r="D462" t="str">
        <f>IF('Labeled Data'!W462=1, 'Labeled Data'!Y462, "")</f>
        <v>joy</v>
      </c>
    </row>
    <row r="463" spans="1:4" x14ac:dyDescent="0.25">
      <c r="A463">
        <f>IF('Labeled Data'!J463=1, 1, "")</f>
        <v>1</v>
      </c>
      <c r="B463" s="5">
        <v>461</v>
      </c>
      <c r="C463" t="s">
        <v>476</v>
      </c>
      <c r="D463" t="str">
        <f>IF('Labeled Data'!W463=1, 'Labeled Data'!Y463, "")</f>
        <v>sadness</v>
      </c>
    </row>
    <row r="464" spans="1:4" x14ac:dyDescent="0.25">
      <c r="A464">
        <f>IF('Labeled Data'!J464=1, 1, "")</f>
        <v>1</v>
      </c>
      <c r="B464" s="5">
        <v>462</v>
      </c>
      <c r="C464" t="s">
        <v>477</v>
      </c>
      <c r="D464" t="str">
        <f>IF('Labeled Data'!W464=1, 'Labeled Data'!Y464, "")</f>
        <v>trust</v>
      </c>
    </row>
    <row r="465" spans="1:4" x14ac:dyDescent="0.25">
      <c r="A465" t="str">
        <f>IF('Labeled Data'!J465=1, 1, "")</f>
        <v/>
      </c>
      <c r="B465" s="5">
        <v>463</v>
      </c>
      <c r="C465" t="s">
        <v>478</v>
      </c>
      <c r="D465" t="str">
        <f>IF('Labeled Data'!W465=1, 'Labeled Data'!Y465, "")</f>
        <v>joy</v>
      </c>
    </row>
    <row r="466" spans="1:4" x14ac:dyDescent="0.25">
      <c r="A466">
        <f>IF('Labeled Data'!J466=1, 1, "")</f>
        <v>1</v>
      </c>
      <c r="B466" s="5">
        <v>464</v>
      </c>
      <c r="C466" t="s">
        <v>479</v>
      </c>
      <c r="D466" t="str">
        <f>IF('Labeled Data'!W466=1, 'Labeled Data'!Y466, "")</f>
        <v>anticipation</v>
      </c>
    </row>
    <row r="467" spans="1:4" x14ac:dyDescent="0.25">
      <c r="A467" t="str">
        <f>IF('Labeled Data'!J467=1, 1, "")</f>
        <v/>
      </c>
      <c r="B467" s="5">
        <v>465</v>
      </c>
      <c r="C467" t="s">
        <v>480</v>
      </c>
      <c r="D467" t="str">
        <f>IF('Labeled Data'!W467=1, 'Labeled Data'!Y467, "")</f>
        <v>fear</v>
      </c>
    </row>
    <row r="468" spans="1:4" x14ac:dyDescent="0.25">
      <c r="A468" t="str">
        <f>IF('Labeled Data'!J468=1, 1, "")</f>
        <v/>
      </c>
      <c r="B468" s="5">
        <v>466</v>
      </c>
      <c r="C468" t="s">
        <v>481</v>
      </c>
      <c r="D468" t="str">
        <f>IF('Labeled Data'!W468=1, 'Labeled Data'!Y468, "")</f>
        <v>joy</v>
      </c>
    </row>
    <row r="469" spans="1:4" x14ac:dyDescent="0.25">
      <c r="A469" t="str">
        <f>IF('Labeled Data'!J469=1, 1, "")</f>
        <v/>
      </c>
      <c r="B469" s="5">
        <v>467</v>
      </c>
      <c r="C469" t="s">
        <v>482</v>
      </c>
      <c r="D469" t="str">
        <f>IF('Labeled Data'!W469=1, 'Labeled Data'!Y469, "")</f>
        <v>trust</v>
      </c>
    </row>
    <row r="470" spans="1:4" x14ac:dyDescent="0.25">
      <c r="A470" t="str">
        <f>IF('Labeled Data'!J470=1, 1, "")</f>
        <v/>
      </c>
      <c r="B470" s="5">
        <v>468</v>
      </c>
      <c r="C470" t="s">
        <v>483</v>
      </c>
      <c r="D470" t="str">
        <f>IF('Labeled Data'!W470=1, 'Labeled Data'!Y470, "")</f>
        <v>trust</v>
      </c>
    </row>
    <row r="471" spans="1:4" x14ac:dyDescent="0.25">
      <c r="A471" t="str">
        <f>IF('Labeled Data'!J471=1, 1, "")</f>
        <v/>
      </c>
      <c r="B471" s="5">
        <v>469</v>
      </c>
      <c r="C471" t="s">
        <v>484</v>
      </c>
      <c r="D471" t="str">
        <f>IF('Labeled Data'!W471=1, 'Labeled Data'!Y471, "")</f>
        <v>AMBIGUOUS</v>
      </c>
    </row>
    <row r="472" spans="1:4" x14ac:dyDescent="0.25">
      <c r="A472" t="str">
        <f>IF('Labeled Data'!J472=1, 1, "")</f>
        <v/>
      </c>
      <c r="B472" s="5">
        <v>470</v>
      </c>
      <c r="C472" t="s">
        <v>485</v>
      </c>
      <c r="D472" t="str">
        <f>IF('Labeled Data'!W472=1, 'Labeled Data'!Y472, "")</f>
        <v>joy</v>
      </c>
    </row>
    <row r="473" spans="1:4" x14ac:dyDescent="0.25">
      <c r="A473" t="str">
        <f>IF('Labeled Data'!J473=1, 1, "")</f>
        <v/>
      </c>
      <c r="B473" s="5">
        <v>471</v>
      </c>
      <c r="C473" t="s">
        <v>486</v>
      </c>
      <c r="D473" t="str">
        <f>IF('Labeled Data'!W473=1, 'Labeled Data'!Y473, "")</f>
        <v>fear</v>
      </c>
    </row>
    <row r="474" spans="1:4" x14ac:dyDescent="0.25">
      <c r="A474" t="str">
        <f>IF('Labeled Data'!J474=1, 1, "")</f>
        <v/>
      </c>
      <c r="B474" s="5">
        <v>472</v>
      </c>
      <c r="C474" t="s">
        <v>487</v>
      </c>
      <c r="D474" t="str">
        <f>IF('Labeled Data'!W474=1, 'Labeled Data'!Y474, "")</f>
        <v>joy</v>
      </c>
    </row>
    <row r="475" spans="1:4" x14ac:dyDescent="0.25">
      <c r="A475" t="str">
        <f>IF('Labeled Data'!J475=1, 1, "")</f>
        <v/>
      </c>
      <c r="B475" s="5">
        <v>473</v>
      </c>
      <c r="C475" t="s">
        <v>488</v>
      </c>
      <c r="D475" t="str">
        <f>IF('Labeled Data'!W475=1, 'Labeled Data'!Y475, "")</f>
        <v>joy</v>
      </c>
    </row>
    <row r="476" spans="1:4" x14ac:dyDescent="0.25">
      <c r="A476" t="str">
        <f>IF('Labeled Data'!J476=1, 1, "")</f>
        <v/>
      </c>
      <c r="B476" s="5">
        <v>474</v>
      </c>
      <c r="C476" t="s">
        <v>489</v>
      </c>
      <c r="D476" t="str">
        <f>IF('Labeled Data'!W476=1, 'Labeled Data'!Y476, "")</f>
        <v>fear</v>
      </c>
    </row>
    <row r="477" spans="1:4" x14ac:dyDescent="0.25">
      <c r="A477" t="str">
        <f>IF('Labeled Data'!J477=1, 1, "")</f>
        <v/>
      </c>
      <c r="B477" s="5">
        <v>475</v>
      </c>
      <c r="C477" t="s">
        <v>490</v>
      </c>
      <c r="D477" t="str">
        <f>IF('Labeled Data'!W477=1, 'Labeled Data'!Y477, "")</f>
        <v>fear</v>
      </c>
    </row>
    <row r="478" spans="1:4" x14ac:dyDescent="0.25">
      <c r="A478">
        <f>IF('Labeled Data'!J478=1, 1, "")</f>
        <v>1</v>
      </c>
      <c r="B478" s="5">
        <v>476</v>
      </c>
      <c r="C478" t="s">
        <v>491</v>
      </c>
      <c r="D478" t="str">
        <f>IF('Labeled Data'!W478=1, 'Labeled Data'!Y478, "")</f>
        <v>sadness</v>
      </c>
    </row>
    <row r="479" spans="1:4" x14ac:dyDescent="0.25">
      <c r="A479" t="str">
        <f>IF('Labeled Data'!J479=1, 1, "")</f>
        <v/>
      </c>
      <c r="B479" s="5">
        <v>477</v>
      </c>
      <c r="C479" t="s">
        <v>492</v>
      </c>
      <c r="D479" t="str">
        <f>IF('Labeled Data'!W479=1, 'Labeled Data'!Y479, "")</f>
        <v>anger</v>
      </c>
    </row>
    <row r="480" spans="1:4" x14ac:dyDescent="0.25">
      <c r="A480" t="str">
        <f>IF('Labeled Data'!J480=1, 1, "")</f>
        <v/>
      </c>
      <c r="B480" s="5">
        <v>478</v>
      </c>
      <c r="C480" t="s">
        <v>493</v>
      </c>
      <c r="D480" t="str">
        <f>IF('Labeled Data'!W480=1, 'Labeled Data'!Y480, "")</f>
        <v>trust</v>
      </c>
    </row>
    <row r="481" spans="1:4" x14ac:dyDescent="0.25">
      <c r="A481">
        <f>IF('Labeled Data'!J481=1, 1, "")</f>
        <v>1</v>
      </c>
      <c r="B481" s="5">
        <v>479</v>
      </c>
      <c r="C481" t="s">
        <v>494</v>
      </c>
      <c r="D481" t="str">
        <f>IF('Labeled Data'!W481=1, 'Labeled Data'!Y481, "")</f>
        <v>anticipation</v>
      </c>
    </row>
    <row r="482" spans="1:4" x14ac:dyDescent="0.25">
      <c r="A482" t="str">
        <f>IF('Labeled Data'!J482=1, 1, "")</f>
        <v/>
      </c>
      <c r="B482" s="5">
        <v>480</v>
      </c>
      <c r="C482" t="s">
        <v>495</v>
      </c>
      <c r="D482" t="str">
        <f>IF('Labeled Data'!W482=1, 'Labeled Data'!Y482, "")</f>
        <v>joy</v>
      </c>
    </row>
    <row r="483" spans="1:4" x14ac:dyDescent="0.25">
      <c r="A483" t="str">
        <f>IF('Labeled Data'!J483=1, 1, "")</f>
        <v/>
      </c>
      <c r="B483" s="5">
        <v>481</v>
      </c>
      <c r="C483" t="s">
        <v>496</v>
      </c>
      <c r="D483" t="str">
        <f>IF('Labeled Data'!W483=1, 'Labeled Data'!Y483, "")</f>
        <v>trust</v>
      </c>
    </row>
    <row r="484" spans="1:4" x14ac:dyDescent="0.25">
      <c r="A484">
        <f>IF('Labeled Data'!J484=1, 1, "")</f>
        <v>1</v>
      </c>
      <c r="B484" s="5">
        <v>482</v>
      </c>
      <c r="C484" t="s">
        <v>497</v>
      </c>
      <c r="D484" t="str">
        <f>IF('Labeled Data'!W484=1, 'Labeled Data'!Y484, "")</f>
        <v>trust</v>
      </c>
    </row>
    <row r="485" spans="1:4" x14ac:dyDescent="0.25">
      <c r="A485" t="str">
        <f>IF('Labeled Data'!J485=1, 1, "")</f>
        <v/>
      </c>
      <c r="B485" s="5">
        <v>483</v>
      </c>
      <c r="C485" t="s">
        <v>498</v>
      </c>
      <c r="D485" t="str">
        <f>IF('Labeled Data'!W485=1, 'Labeled Data'!Y485, "")</f>
        <v>joy</v>
      </c>
    </row>
    <row r="486" spans="1:4" x14ac:dyDescent="0.25">
      <c r="A486" t="str">
        <f>IF('Labeled Data'!J486=1, 1, "")</f>
        <v/>
      </c>
      <c r="B486" s="5">
        <v>484</v>
      </c>
      <c r="C486" t="s">
        <v>499</v>
      </c>
      <c r="D486" t="str">
        <f>IF('Labeled Data'!W486=1, 'Labeled Data'!Y486, "")</f>
        <v>trust</v>
      </c>
    </row>
    <row r="487" spans="1:4" x14ac:dyDescent="0.25">
      <c r="A487" t="str">
        <f>IF('Labeled Data'!J487=1, 1, "")</f>
        <v/>
      </c>
      <c r="B487" s="5">
        <v>485</v>
      </c>
      <c r="C487" t="s">
        <v>500</v>
      </c>
      <c r="D487" t="str">
        <f>IF('Labeled Data'!W487=1, 'Labeled Data'!Y487, "")</f>
        <v>joy</v>
      </c>
    </row>
    <row r="488" spans="1:4" x14ac:dyDescent="0.25">
      <c r="A488" t="str">
        <f>IF('Labeled Data'!J488=1, 1, "")</f>
        <v/>
      </c>
      <c r="B488" s="5">
        <v>486</v>
      </c>
      <c r="C488" t="s">
        <v>501</v>
      </c>
      <c r="D488" t="str">
        <f>IF('Labeled Data'!W488=1, 'Labeled Data'!Y488, "")</f>
        <v>joy</v>
      </c>
    </row>
    <row r="489" spans="1:4" x14ac:dyDescent="0.25">
      <c r="A489" t="str">
        <f>IF('Labeled Data'!J489=1, 1, "")</f>
        <v/>
      </c>
      <c r="B489" s="5">
        <v>487</v>
      </c>
      <c r="C489" t="s">
        <v>502</v>
      </c>
      <c r="D489" t="str">
        <f>IF('Labeled Data'!W489=1, 'Labeled Data'!Y489, "")</f>
        <v>trust</v>
      </c>
    </row>
    <row r="490" spans="1:4" x14ac:dyDescent="0.25">
      <c r="A490" t="str">
        <f>IF('Labeled Data'!J490=1, 1, "")</f>
        <v/>
      </c>
      <c r="B490" s="5">
        <v>488</v>
      </c>
      <c r="C490" t="s">
        <v>503</v>
      </c>
      <c r="D490" t="str">
        <f>IF('Labeled Data'!W490=1, 'Labeled Data'!Y490, "")</f>
        <v>joy</v>
      </c>
    </row>
    <row r="491" spans="1:4" x14ac:dyDescent="0.25">
      <c r="A491" t="str">
        <f>IF('Labeled Data'!J491=1, 1, "")</f>
        <v/>
      </c>
      <c r="B491" s="5">
        <v>489</v>
      </c>
      <c r="C491" t="s">
        <v>504</v>
      </c>
      <c r="D491" t="str">
        <f>IF('Labeled Data'!W491=1, 'Labeled Data'!Y491, "")</f>
        <v>joy</v>
      </c>
    </row>
    <row r="492" spans="1:4" x14ac:dyDescent="0.25">
      <c r="A492">
        <f>IF('Labeled Data'!J492=1, 1, "")</f>
        <v>1</v>
      </c>
      <c r="B492" s="5">
        <v>490</v>
      </c>
      <c r="C492" t="s">
        <v>505</v>
      </c>
      <c r="D492" t="str">
        <f>IF('Labeled Data'!W492=1, 'Labeled Data'!Y492, "")</f>
        <v>anticipation</v>
      </c>
    </row>
    <row r="493" spans="1:4" x14ac:dyDescent="0.25">
      <c r="A493">
        <f>IF('Labeled Data'!J493=1, 1, "")</f>
        <v>1</v>
      </c>
      <c r="B493" s="5">
        <v>491</v>
      </c>
      <c r="C493" t="s">
        <v>506</v>
      </c>
      <c r="D493" t="str">
        <f>IF('Labeled Data'!W493=1, 'Labeled Data'!Y493, "")</f>
        <v>joy</v>
      </c>
    </row>
    <row r="494" spans="1:4" x14ac:dyDescent="0.25">
      <c r="A494">
        <f>IF('Labeled Data'!J494=1, 1, "")</f>
        <v>1</v>
      </c>
      <c r="B494" s="5">
        <v>492</v>
      </c>
      <c r="C494" t="s">
        <v>507</v>
      </c>
      <c r="D494" t="str">
        <f>IF('Labeled Data'!W494=1, 'Labeled Data'!Y494, "")</f>
        <v>joy</v>
      </c>
    </row>
    <row r="495" spans="1:4" x14ac:dyDescent="0.25">
      <c r="A495" t="str">
        <f>IF('Labeled Data'!J495=1, 1, "")</f>
        <v/>
      </c>
      <c r="B495" s="5">
        <v>493</v>
      </c>
      <c r="C495" t="s">
        <v>508</v>
      </c>
      <c r="D495" t="str">
        <f>IF('Labeled Data'!W495=1, 'Labeled Data'!Y495, "")</f>
        <v>trust</v>
      </c>
    </row>
    <row r="496" spans="1:4" x14ac:dyDescent="0.25">
      <c r="A496" t="str">
        <f>IF('Labeled Data'!J496=1, 1, "")</f>
        <v/>
      </c>
      <c r="B496" s="5">
        <v>494</v>
      </c>
      <c r="C496" t="s">
        <v>509</v>
      </c>
      <c r="D496" t="str">
        <f>IF('Labeled Data'!W496=1, 'Labeled Data'!Y496, "")</f>
        <v>joy</v>
      </c>
    </row>
    <row r="497" spans="1:4" x14ac:dyDescent="0.25">
      <c r="A497" t="str">
        <f>IF('Labeled Data'!J497=1, 1, "")</f>
        <v/>
      </c>
      <c r="B497" s="5">
        <v>495</v>
      </c>
      <c r="C497" t="s">
        <v>510</v>
      </c>
      <c r="D497" t="str">
        <f>IF('Labeled Data'!W497=1, 'Labeled Data'!Y497, "")</f>
        <v>joy</v>
      </c>
    </row>
    <row r="498" spans="1:4" x14ac:dyDescent="0.25">
      <c r="A498" t="str">
        <f>IF('Labeled Data'!J498=1, 1, "")</f>
        <v/>
      </c>
      <c r="B498" s="5">
        <v>496</v>
      </c>
      <c r="C498" t="s">
        <v>511</v>
      </c>
      <c r="D498" t="str">
        <f>IF('Labeled Data'!W498=1, 'Labeled Data'!Y498, "")</f>
        <v>fear</v>
      </c>
    </row>
    <row r="499" spans="1:4" x14ac:dyDescent="0.25">
      <c r="A499" t="str">
        <f>IF('Labeled Data'!J499=1, 1, "")</f>
        <v/>
      </c>
      <c r="B499" s="5">
        <v>497</v>
      </c>
      <c r="C499" t="s">
        <v>512</v>
      </c>
      <c r="D499" t="str">
        <f>IF('Labeled Data'!W499=1, 'Labeled Data'!Y499, "")</f>
        <v>fear</v>
      </c>
    </row>
    <row r="500" spans="1:4" x14ac:dyDescent="0.25">
      <c r="A500" t="str">
        <f>IF('Labeled Data'!J500=1, 1, "")</f>
        <v/>
      </c>
      <c r="B500" s="5">
        <v>498</v>
      </c>
      <c r="C500" t="s">
        <v>513</v>
      </c>
      <c r="D500" t="str">
        <f>IF('Labeled Data'!W500=1, 'Labeled Data'!Y500, "")</f>
        <v>joy</v>
      </c>
    </row>
    <row r="501" spans="1:4" x14ac:dyDescent="0.25">
      <c r="A501">
        <f>IF('Labeled Data'!J501=1, 1, "")</f>
        <v>1</v>
      </c>
      <c r="B501" s="5">
        <v>499</v>
      </c>
      <c r="C501" t="s">
        <v>514</v>
      </c>
      <c r="D501" t="str">
        <f>IF('Labeled Data'!W501=1, 'Labeled Data'!Y501, "")</f>
        <v>joy</v>
      </c>
    </row>
    <row r="502" spans="1:4" x14ac:dyDescent="0.25">
      <c r="A502" t="str">
        <f>IF('Labeled Data'!J502=1, 1, "")</f>
        <v/>
      </c>
      <c r="B502" s="5">
        <v>500</v>
      </c>
      <c r="C502" t="s">
        <v>515</v>
      </c>
      <c r="D502" t="str">
        <f>IF('Labeled Data'!W502=1, 'Labeled Data'!Y502, "")</f>
        <v>trust</v>
      </c>
    </row>
    <row r="503" spans="1:4" x14ac:dyDescent="0.25">
      <c r="A503" t="str">
        <f>IF('Labeled Data'!J503=1, 1, "")</f>
        <v/>
      </c>
      <c r="B503" s="5">
        <v>501</v>
      </c>
      <c r="C503" t="s">
        <v>516</v>
      </c>
      <c r="D503" t="str">
        <f>IF('Labeled Data'!W503=1, 'Labeled Data'!Y503, "")</f>
        <v>fear</v>
      </c>
    </row>
    <row r="504" spans="1:4" x14ac:dyDescent="0.25">
      <c r="A504">
        <f>IF('Labeled Data'!J504=1, 1, "")</f>
        <v>1</v>
      </c>
      <c r="B504" s="5">
        <v>502</v>
      </c>
      <c r="C504" t="s">
        <v>517</v>
      </c>
      <c r="D504" t="str">
        <f>IF('Labeled Data'!W504=1, 'Labeled Data'!Y504, "")</f>
        <v>anger</v>
      </c>
    </row>
    <row r="505" spans="1:4" x14ac:dyDescent="0.25">
      <c r="A505" t="str">
        <f>IF('Labeled Data'!J505=1, 1, "")</f>
        <v/>
      </c>
      <c r="B505" s="5">
        <v>503</v>
      </c>
      <c r="C505" t="s">
        <v>518</v>
      </c>
      <c r="D505" t="str">
        <f>IF('Labeled Data'!W505=1, 'Labeled Data'!Y505, "")</f>
        <v>trust</v>
      </c>
    </row>
    <row r="506" spans="1:4" x14ac:dyDescent="0.25">
      <c r="A506" t="str">
        <f>IF('Labeled Data'!J506=1, 1, "")</f>
        <v/>
      </c>
      <c r="B506" s="5">
        <v>504</v>
      </c>
      <c r="C506" t="s">
        <v>519</v>
      </c>
      <c r="D506" t="str">
        <f>IF('Labeled Data'!W506=1, 'Labeled Data'!Y506, "")</f>
        <v>joy</v>
      </c>
    </row>
    <row r="507" spans="1:4" x14ac:dyDescent="0.25">
      <c r="A507" t="str">
        <f>IF('Labeled Data'!J507=1, 1, "")</f>
        <v/>
      </c>
      <c r="B507" s="5">
        <v>505</v>
      </c>
      <c r="C507" t="s">
        <v>520</v>
      </c>
      <c r="D507" t="str">
        <f>IF('Labeled Data'!W507=1, 'Labeled Data'!Y507, "")</f>
        <v>joy</v>
      </c>
    </row>
    <row r="508" spans="1:4" x14ac:dyDescent="0.25">
      <c r="A508" t="str">
        <f>IF('Labeled Data'!J508=1, 1, "")</f>
        <v/>
      </c>
      <c r="B508" s="5">
        <v>506</v>
      </c>
      <c r="C508" t="s">
        <v>521</v>
      </c>
      <c r="D508" t="str">
        <f>IF('Labeled Data'!W508=1, 'Labeled Data'!Y508, "")</f>
        <v>joy</v>
      </c>
    </row>
    <row r="509" spans="1:4" x14ac:dyDescent="0.25">
      <c r="A509" t="str">
        <f>IF('Labeled Data'!J509=1, 1, "")</f>
        <v/>
      </c>
      <c r="B509" s="5">
        <v>507</v>
      </c>
      <c r="C509" t="s">
        <v>522</v>
      </c>
      <c r="D509" t="str">
        <f>IF('Labeled Data'!W509=1, 'Labeled Data'!Y509, "")</f>
        <v>joy</v>
      </c>
    </row>
    <row r="510" spans="1:4" x14ac:dyDescent="0.25">
      <c r="A510" t="str">
        <f>IF('Labeled Data'!J510=1, 1, "")</f>
        <v/>
      </c>
      <c r="B510" s="5">
        <v>508</v>
      </c>
      <c r="C510" t="s">
        <v>523</v>
      </c>
      <c r="D510" t="str">
        <f>IF('Labeled Data'!W510=1, 'Labeled Data'!Y510, "")</f>
        <v>joy</v>
      </c>
    </row>
    <row r="511" spans="1:4" x14ac:dyDescent="0.25">
      <c r="A511">
        <f>IF('Labeled Data'!J511=1, 1, "")</f>
        <v>1</v>
      </c>
      <c r="B511" s="5">
        <v>509</v>
      </c>
      <c r="C511" t="s">
        <v>524</v>
      </c>
      <c r="D511" t="str">
        <f>IF('Labeled Data'!W511=1, 'Labeled Data'!Y511, "")</f>
        <v>sadness</v>
      </c>
    </row>
    <row r="512" spans="1:4" x14ac:dyDescent="0.25">
      <c r="A512">
        <f>IF('Labeled Data'!J512=1, 1, "")</f>
        <v>1</v>
      </c>
      <c r="B512" s="5">
        <v>510</v>
      </c>
      <c r="C512" t="s">
        <v>525</v>
      </c>
      <c r="D512" t="str">
        <f>IF('Labeled Data'!W512=1, 'Labeled Data'!Y512, "")</f>
        <v>sadness</v>
      </c>
    </row>
    <row r="513" spans="1:4" x14ac:dyDescent="0.25">
      <c r="A513">
        <f>IF('Labeled Data'!J513=1, 1, "")</f>
        <v>1</v>
      </c>
      <c r="B513" s="5">
        <v>511</v>
      </c>
      <c r="C513" t="s">
        <v>526</v>
      </c>
      <c r="D513" t="str">
        <f>IF('Labeled Data'!W513=1, 'Labeled Data'!Y513, "")</f>
        <v>anger</v>
      </c>
    </row>
    <row r="514" spans="1:4" x14ac:dyDescent="0.25">
      <c r="A514" t="str">
        <f>IF('Labeled Data'!J514=1, 1, "")</f>
        <v/>
      </c>
      <c r="B514" s="5">
        <v>512</v>
      </c>
      <c r="C514" t="s">
        <v>527</v>
      </c>
      <c r="D514" t="str">
        <f>IF('Labeled Data'!W514=1, 'Labeled Data'!Y514, "")</f>
        <v>joy</v>
      </c>
    </row>
    <row r="515" spans="1:4" x14ac:dyDescent="0.25">
      <c r="A515">
        <f>IF('Labeled Data'!J515=1, 1, "")</f>
        <v>1</v>
      </c>
      <c r="B515" s="5">
        <v>513</v>
      </c>
      <c r="C515" t="s">
        <v>528</v>
      </c>
      <c r="D515" t="str">
        <f>IF('Labeled Data'!W515=1, 'Labeled Data'!Y515, "")</f>
        <v>trust</v>
      </c>
    </row>
    <row r="516" spans="1:4" x14ac:dyDescent="0.25">
      <c r="A516" t="str">
        <f>IF('Labeled Data'!J516=1, 1, "")</f>
        <v/>
      </c>
      <c r="B516" s="5">
        <v>514</v>
      </c>
      <c r="C516" t="s">
        <v>529</v>
      </c>
      <c r="D516" t="str">
        <f>IF('Labeled Data'!W516=1, 'Labeled Data'!Y516, "")</f>
        <v>AMBIGUOUS</v>
      </c>
    </row>
    <row r="517" spans="1:4" x14ac:dyDescent="0.25">
      <c r="A517">
        <f>IF('Labeled Data'!J517=1, 1, "")</f>
        <v>1</v>
      </c>
      <c r="B517" s="5">
        <v>515</v>
      </c>
      <c r="C517" t="s">
        <v>530</v>
      </c>
      <c r="D517" t="str">
        <f>IF('Labeled Data'!W517=1, 'Labeled Data'!Y517, "")</f>
        <v>trust</v>
      </c>
    </row>
    <row r="518" spans="1:4" x14ac:dyDescent="0.25">
      <c r="A518">
        <f>IF('Labeled Data'!J518=1, 1, "")</f>
        <v>1</v>
      </c>
      <c r="B518" s="5">
        <v>516</v>
      </c>
      <c r="C518" t="s">
        <v>531</v>
      </c>
      <c r="D518" t="str">
        <f>IF('Labeled Data'!W518=1, 'Labeled Data'!Y518, "")</f>
        <v>disgust</v>
      </c>
    </row>
    <row r="519" spans="1:4" x14ac:dyDescent="0.25">
      <c r="A519" t="str">
        <f>IF('Labeled Data'!J519=1, 1, "")</f>
        <v/>
      </c>
      <c r="B519" s="5">
        <v>517</v>
      </c>
      <c r="C519" t="s">
        <v>532</v>
      </c>
      <c r="D519" t="str">
        <f>IF('Labeled Data'!W519=1, 'Labeled Data'!Y519, "")</f>
        <v>trust</v>
      </c>
    </row>
    <row r="520" spans="1:4" x14ac:dyDescent="0.25">
      <c r="A520" t="str">
        <f>IF('Labeled Data'!J520=1, 1, "")</f>
        <v/>
      </c>
      <c r="B520" s="5">
        <v>518</v>
      </c>
      <c r="C520" t="s">
        <v>533</v>
      </c>
      <c r="D520" t="str">
        <f>IF('Labeled Data'!W520=1, 'Labeled Data'!Y520, "")</f>
        <v>trust</v>
      </c>
    </row>
    <row r="521" spans="1:4" x14ac:dyDescent="0.25">
      <c r="A521" t="str">
        <f>IF('Labeled Data'!J521=1, 1, "")</f>
        <v/>
      </c>
      <c r="B521" s="5">
        <v>519</v>
      </c>
      <c r="C521" t="s">
        <v>534</v>
      </c>
      <c r="D521" t="str">
        <f>IF('Labeled Data'!W521=1, 'Labeled Data'!Y521, "")</f>
        <v>joy</v>
      </c>
    </row>
    <row r="522" spans="1:4" x14ac:dyDescent="0.25">
      <c r="A522">
        <f>IF('Labeled Data'!J522=1, 1, "")</f>
        <v>1</v>
      </c>
      <c r="B522" s="5">
        <v>520</v>
      </c>
      <c r="C522" t="s">
        <v>535</v>
      </c>
      <c r="D522" t="str">
        <f>IF('Labeled Data'!W522=1, 'Labeled Data'!Y522, "")</f>
        <v>trust</v>
      </c>
    </row>
    <row r="523" spans="1:4" x14ac:dyDescent="0.25">
      <c r="A523" t="str">
        <f>IF('Labeled Data'!J523=1, 1, "")</f>
        <v/>
      </c>
      <c r="B523" s="5">
        <v>521</v>
      </c>
      <c r="C523" t="s">
        <v>536</v>
      </c>
      <c r="D523" t="str">
        <f>IF('Labeled Data'!W523=1, 'Labeled Data'!Y523, "")</f>
        <v>joy</v>
      </c>
    </row>
    <row r="524" spans="1:4" x14ac:dyDescent="0.25">
      <c r="A524">
        <f>IF('Labeled Data'!J524=1, 1, "")</f>
        <v>1</v>
      </c>
      <c r="B524" s="5">
        <v>522</v>
      </c>
      <c r="C524" t="s">
        <v>537</v>
      </c>
      <c r="D524" t="str">
        <f>IF('Labeled Data'!W524=1, 'Labeled Data'!Y524, "")</f>
        <v>joy</v>
      </c>
    </row>
    <row r="525" spans="1:4" x14ac:dyDescent="0.25">
      <c r="A525" t="str">
        <f>IF('Labeled Data'!J525=1, 1, "")</f>
        <v/>
      </c>
      <c r="B525" s="5">
        <v>523</v>
      </c>
      <c r="C525" t="s">
        <v>538</v>
      </c>
      <c r="D525" t="str">
        <f>IF('Labeled Data'!W525=1, 'Labeled Data'!Y525, "")</f>
        <v>trust</v>
      </c>
    </row>
    <row r="526" spans="1:4" x14ac:dyDescent="0.25">
      <c r="A526" t="str">
        <f>IF('Labeled Data'!J526=1, 1, "")</f>
        <v/>
      </c>
      <c r="B526" s="5">
        <v>524</v>
      </c>
      <c r="C526" t="s">
        <v>539</v>
      </c>
      <c r="D526" t="str">
        <f>IF('Labeled Data'!W526=1, 'Labeled Data'!Y526, "")</f>
        <v>joy</v>
      </c>
    </row>
    <row r="527" spans="1:4" x14ac:dyDescent="0.25">
      <c r="A527">
        <f>IF('Labeled Data'!J527=1, 1, "")</f>
        <v>1</v>
      </c>
      <c r="B527" s="5">
        <v>525</v>
      </c>
      <c r="C527" t="s">
        <v>540</v>
      </c>
      <c r="D527" t="str">
        <f>IF('Labeled Data'!W527=1, 'Labeled Data'!Y527, "")</f>
        <v>joy</v>
      </c>
    </row>
    <row r="528" spans="1:4" x14ac:dyDescent="0.25">
      <c r="A528" t="str">
        <f>IF('Labeled Data'!J528=1, 1, "")</f>
        <v/>
      </c>
      <c r="B528" s="5">
        <v>526</v>
      </c>
      <c r="C528" t="s">
        <v>541</v>
      </c>
      <c r="D528" t="str">
        <f>IF('Labeled Data'!W528=1, 'Labeled Data'!Y528, "")</f>
        <v>joy</v>
      </c>
    </row>
    <row r="529" spans="1:4" x14ac:dyDescent="0.25">
      <c r="A529">
        <f>IF('Labeled Data'!J529=1, 1, "")</f>
        <v>1</v>
      </c>
      <c r="B529" s="5">
        <v>527</v>
      </c>
      <c r="C529" t="s">
        <v>542</v>
      </c>
      <c r="D529" t="str">
        <f>IF('Labeled Data'!W529=1, 'Labeled Data'!Y529, "")</f>
        <v>sadness</v>
      </c>
    </row>
    <row r="530" spans="1:4" x14ac:dyDescent="0.25">
      <c r="A530" t="str">
        <f>IF('Labeled Data'!J530=1, 1, "")</f>
        <v/>
      </c>
      <c r="B530" s="5">
        <v>528</v>
      </c>
      <c r="C530" t="s">
        <v>543</v>
      </c>
      <c r="D530" t="str">
        <f>IF('Labeled Data'!W530=1, 'Labeled Data'!Y530, "")</f>
        <v>joy</v>
      </c>
    </row>
    <row r="531" spans="1:4" x14ac:dyDescent="0.25">
      <c r="A531" t="str">
        <f>IF('Labeled Data'!J531=1, 1, "")</f>
        <v/>
      </c>
      <c r="B531" s="5">
        <v>529</v>
      </c>
      <c r="C531" t="s">
        <v>544</v>
      </c>
      <c r="D531" t="str">
        <f>IF('Labeled Data'!W531=1, 'Labeled Data'!Y531, "")</f>
        <v>joy</v>
      </c>
    </row>
    <row r="532" spans="1:4" x14ac:dyDescent="0.25">
      <c r="A532" t="str">
        <f>IF('Labeled Data'!J532=1, 1, "")</f>
        <v/>
      </c>
      <c r="B532" s="5">
        <v>530</v>
      </c>
      <c r="C532" t="s">
        <v>545</v>
      </c>
      <c r="D532" t="str">
        <f>IF('Labeled Data'!W532=1, 'Labeled Data'!Y532, "")</f>
        <v>joy</v>
      </c>
    </row>
    <row r="533" spans="1:4" x14ac:dyDescent="0.25">
      <c r="A533" t="str">
        <f>IF('Labeled Data'!J533=1, 1, "")</f>
        <v/>
      </c>
      <c r="B533" s="5">
        <v>531</v>
      </c>
      <c r="C533" t="s">
        <v>546</v>
      </c>
      <c r="D533" t="str">
        <f>IF('Labeled Data'!W533=1, 'Labeled Data'!Y533, "")</f>
        <v>trust</v>
      </c>
    </row>
    <row r="534" spans="1:4" x14ac:dyDescent="0.25">
      <c r="A534" t="str">
        <f>IF('Labeled Data'!J534=1, 1, "")</f>
        <v/>
      </c>
      <c r="B534" s="5">
        <v>532</v>
      </c>
      <c r="C534" t="s">
        <v>547</v>
      </c>
      <c r="D534" t="str">
        <f>IF('Labeled Data'!W534=1, 'Labeled Data'!Y534, "")</f>
        <v>trust</v>
      </c>
    </row>
    <row r="535" spans="1:4" x14ac:dyDescent="0.25">
      <c r="A535" t="str">
        <f>IF('Labeled Data'!J535=1, 1, "")</f>
        <v/>
      </c>
      <c r="B535" s="5">
        <v>533</v>
      </c>
      <c r="C535" t="s">
        <v>548</v>
      </c>
      <c r="D535" t="str">
        <f>IF('Labeled Data'!W535=1, 'Labeled Data'!Y535, "")</f>
        <v>joy</v>
      </c>
    </row>
    <row r="536" spans="1:4" x14ac:dyDescent="0.25">
      <c r="A536">
        <f>IF('Labeled Data'!J536=1, 1, "")</f>
        <v>1</v>
      </c>
      <c r="B536" s="5">
        <v>534</v>
      </c>
      <c r="C536" t="s">
        <v>549</v>
      </c>
      <c r="D536" t="str">
        <f>IF('Labeled Data'!W536=1, 'Labeled Data'!Y536, "")</f>
        <v>sadness</v>
      </c>
    </row>
    <row r="537" spans="1:4" x14ac:dyDescent="0.25">
      <c r="A537">
        <f>IF('Labeled Data'!J537=1, 1, "")</f>
        <v>1</v>
      </c>
      <c r="B537" s="5">
        <v>535</v>
      </c>
      <c r="C537" t="s">
        <v>550</v>
      </c>
      <c r="D537" t="str">
        <f>IF('Labeled Data'!W537=1, 'Labeled Data'!Y537, "")</f>
        <v>sadness</v>
      </c>
    </row>
    <row r="538" spans="1:4" x14ac:dyDescent="0.25">
      <c r="A538">
        <f>IF('Labeled Data'!J538=1, 1, "")</f>
        <v>1</v>
      </c>
      <c r="B538" s="5">
        <v>536</v>
      </c>
      <c r="C538" t="s">
        <v>551</v>
      </c>
      <c r="D538" t="str">
        <f>IF('Labeled Data'!W538=1, 'Labeled Data'!Y538, "")</f>
        <v>joy</v>
      </c>
    </row>
    <row r="539" spans="1:4" x14ac:dyDescent="0.25">
      <c r="A539" t="str">
        <f>IF('Labeled Data'!J539=1, 1, "")</f>
        <v/>
      </c>
      <c r="B539" s="5">
        <v>537</v>
      </c>
      <c r="C539" t="s">
        <v>552</v>
      </c>
      <c r="D539" t="str">
        <f>IF('Labeled Data'!W539=1, 'Labeled Data'!Y539, "")</f>
        <v>trust</v>
      </c>
    </row>
    <row r="540" spans="1:4" x14ac:dyDescent="0.25">
      <c r="A540" t="str">
        <f>IF('Labeled Data'!J540=1, 1, "")</f>
        <v/>
      </c>
      <c r="B540" s="5">
        <v>538</v>
      </c>
      <c r="C540" t="s">
        <v>553</v>
      </c>
      <c r="D540" t="str">
        <f>IF('Labeled Data'!W540=1, 'Labeled Data'!Y540, "")</f>
        <v>joy</v>
      </c>
    </row>
    <row r="541" spans="1:4" x14ac:dyDescent="0.25">
      <c r="A541">
        <f>IF('Labeled Data'!J541=1, 1, "")</f>
        <v>1</v>
      </c>
      <c r="B541" s="5">
        <v>539</v>
      </c>
      <c r="C541" t="s">
        <v>554</v>
      </c>
      <c r="D541" t="str">
        <f>IF('Labeled Data'!W541=1, 'Labeled Data'!Y541, "")</f>
        <v>joy</v>
      </c>
    </row>
    <row r="542" spans="1:4" x14ac:dyDescent="0.25">
      <c r="A542">
        <f>IF('Labeled Data'!J542=1, 1, "")</f>
        <v>1</v>
      </c>
      <c r="B542" s="5">
        <v>540</v>
      </c>
      <c r="C542" t="s">
        <v>555</v>
      </c>
      <c r="D542" t="str">
        <f>IF('Labeled Data'!W542=1, 'Labeled Data'!Y542, "")</f>
        <v>surprise</v>
      </c>
    </row>
    <row r="543" spans="1:4" x14ac:dyDescent="0.25">
      <c r="A543" t="str">
        <f>IF('Labeled Data'!J543=1, 1, "")</f>
        <v/>
      </c>
      <c r="B543" s="5">
        <v>541</v>
      </c>
      <c r="C543" t="s">
        <v>556</v>
      </c>
      <c r="D543" t="str">
        <f>IF('Labeled Data'!W543=1, 'Labeled Data'!Y543, "")</f>
        <v>joy</v>
      </c>
    </row>
    <row r="544" spans="1:4" x14ac:dyDescent="0.25">
      <c r="A544" t="str">
        <f>IF('Labeled Data'!J544=1, 1, "")</f>
        <v/>
      </c>
      <c r="B544" s="5">
        <v>542</v>
      </c>
      <c r="C544" t="s">
        <v>557</v>
      </c>
      <c r="D544" t="str">
        <f>IF('Labeled Data'!W544=1, 'Labeled Data'!Y544, "")</f>
        <v>joy</v>
      </c>
    </row>
    <row r="545" spans="1:4" x14ac:dyDescent="0.25">
      <c r="A545" t="str">
        <f>IF('Labeled Data'!J545=1, 1, "")</f>
        <v/>
      </c>
      <c r="B545" s="5">
        <v>543</v>
      </c>
      <c r="C545" t="s">
        <v>558</v>
      </c>
      <c r="D545" t="str">
        <f>IF('Labeled Data'!W545=1, 'Labeled Data'!Y545, "")</f>
        <v>joy</v>
      </c>
    </row>
    <row r="546" spans="1:4" x14ac:dyDescent="0.25">
      <c r="A546" t="str">
        <f>IF('Labeled Data'!J546=1, 1, "")</f>
        <v/>
      </c>
      <c r="B546" s="5">
        <v>544</v>
      </c>
      <c r="C546" t="s">
        <v>559</v>
      </c>
      <c r="D546" t="str">
        <f>IF('Labeled Data'!W546=1, 'Labeled Data'!Y546, "")</f>
        <v>joy</v>
      </c>
    </row>
    <row r="547" spans="1:4" x14ac:dyDescent="0.25">
      <c r="A547" t="str">
        <f>IF('Labeled Data'!J547=1, 1, "")</f>
        <v/>
      </c>
      <c r="B547" s="5">
        <v>545</v>
      </c>
      <c r="C547" t="s">
        <v>560</v>
      </c>
      <c r="D547" t="str">
        <f>IF('Labeled Data'!W547=1, 'Labeled Data'!Y547, "")</f>
        <v>joy</v>
      </c>
    </row>
    <row r="548" spans="1:4" x14ac:dyDescent="0.25">
      <c r="A548" t="str">
        <f>IF('Labeled Data'!J548=1, 1, "")</f>
        <v/>
      </c>
      <c r="B548" s="5">
        <v>546</v>
      </c>
      <c r="C548" t="s">
        <v>561</v>
      </c>
      <c r="D548" t="str">
        <f>IF('Labeled Data'!W548=1, 'Labeled Data'!Y548, "")</f>
        <v>joy</v>
      </c>
    </row>
    <row r="549" spans="1:4" x14ac:dyDescent="0.25">
      <c r="A549" t="str">
        <f>IF('Labeled Data'!J549=1, 1, "")</f>
        <v/>
      </c>
      <c r="B549" s="5">
        <v>547</v>
      </c>
      <c r="C549" t="s">
        <v>562</v>
      </c>
      <c r="D549" t="str">
        <f>IF('Labeled Data'!W549=1, 'Labeled Data'!Y549, "")</f>
        <v>joy</v>
      </c>
    </row>
    <row r="550" spans="1:4" x14ac:dyDescent="0.25">
      <c r="A550" t="str">
        <f>IF('Labeled Data'!J550=1, 1, "")</f>
        <v/>
      </c>
      <c r="B550" s="5">
        <v>548</v>
      </c>
      <c r="C550" t="s">
        <v>563</v>
      </c>
      <c r="D550" t="str">
        <f>IF('Labeled Data'!W550=1, 'Labeled Data'!Y550, "")</f>
        <v>joy</v>
      </c>
    </row>
    <row r="551" spans="1:4" x14ac:dyDescent="0.25">
      <c r="A551" t="str">
        <f>IF('Labeled Data'!J551=1, 1, "")</f>
        <v/>
      </c>
      <c r="B551" s="5">
        <v>549</v>
      </c>
      <c r="C551" t="s">
        <v>564</v>
      </c>
      <c r="D551" t="str">
        <f>IF('Labeled Data'!W551=1, 'Labeled Data'!Y551, "")</f>
        <v>joy</v>
      </c>
    </row>
    <row r="552" spans="1:4" x14ac:dyDescent="0.25">
      <c r="A552" t="str">
        <f>IF('Labeled Data'!J552=1, 1, "")</f>
        <v/>
      </c>
      <c r="B552" s="5">
        <v>550</v>
      </c>
      <c r="C552" t="s">
        <v>565</v>
      </c>
      <c r="D552" t="str">
        <f>IF('Labeled Data'!W552=1, 'Labeled Data'!Y552, "")</f>
        <v>joy</v>
      </c>
    </row>
    <row r="553" spans="1:4" x14ac:dyDescent="0.25">
      <c r="A553" t="str">
        <f>IF('Labeled Data'!J553=1, 1, "")</f>
        <v/>
      </c>
      <c r="B553" s="5">
        <v>551</v>
      </c>
      <c r="C553" t="s">
        <v>566</v>
      </c>
      <c r="D553" t="str">
        <f>IF('Labeled Data'!W553=1, 'Labeled Data'!Y553, "")</f>
        <v>joy</v>
      </c>
    </row>
    <row r="554" spans="1:4" x14ac:dyDescent="0.25">
      <c r="A554" t="str">
        <f>IF('Labeled Data'!J554=1, 1, "")</f>
        <v/>
      </c>
      <c r="B554" s="5">
        <v>552</v>
      </c>
      <c r="C554" t="s">
        <v>567</v>
      </c>
      <c r="D554" t="str">
        <f>IF('Labeled Data'!W554=1, 'Labeled Data'!Y554, "")</f>
        <v>trust</v>
      </c>
    </row>
    <row r="555" spans="1:4" x14ac:dyDescent="0.25">
      <c r="A555">
        <f>IF('Labeled Data'!J555=1, 1, "")</f>
        <v>1</v>
      </c>
      <c r="B555" s="5">
        <v>553</v>
      </c>
      <c r="C555" t="s">
        <v>568</v>
      </c>
      <c r="D555" t="str">
        <f>IF('Labeled Data'!W555=1, 'Labeled Data'!Y555, "")</f>
        <v>trust</v>
      </c>
    </row>
    <row r="556" spans="1:4" x14ac:dyDescent="0.25">
      <c r="A556">
        <f>IF('Labeled Data'!J556=1, 1, "")</f>
        <v>1</v>
      </c>
      <c r="B556" s="5">
        <v>554</v>
      </c>
      <c r="C556" t="s">
        <v>569</v>
      </c>
      <c r="D556" t="str">
        <f>IF('Labeled Data'!W556=1, 'Labeled Data'!Y556, "")</f>
        <v>trust</v>
      </c>
    </row>
    <row r="557" spans="1:4" x14ac:dyDescent="0.25">
      <c r="A557" t="str">
        <f>IF('Labeled Data'!J557=1, 1, "")</f>
        <v/>
      </c>
      <c r="B557" s="5">
        <v>555</v>
      </c>
      <c r="C557" t="s">
        <v>570</v>
      </c>
      <c r="D557" t="str">
        <f>IF('Labeled Data'!W557=1, 'Labeled Data'!Y557, "")</f>
        <v>joy</v>
      </c>
    </row>
    <row r="558" spans="1:4" x14ac:dyDescent="0.25">
      <c r="A558" t="str">
        <f>IF('Labeled Data'!J558=1, 1, "")</f>
        <v/>
      </c>
      <c r="B558" s="5">
        <v>556</v>
      </c>
      <c r="C558" t="s">
        <v>571</v>
      </c>
      <c r="D558" t="str">
        <f>IF('Labeled Data'!W558=1, 'Labeled Data'!Y558, "")</f>
        <v>joy</v>
      </c>
    </row>
    <row r="559" spans="1:4" x14ac:dyDescent="0.25">
      <c r="A559" t="str">
        <f>IF('Labeled Data'!J559=1, 1, "")</f>
        <v/>
      </c>
      <c r="B559" s="5">
        <v>557</v>
      </c>
      <c r="C559" t="s">
        <v>572</v>
      </c>
      <c r="D559" t="str">
        <f>IF('Labeled Data'!W559=1, 'Labeled Data'!Y559, "")</f>
        <v>trust</v>
      </c>
    </row>
    <row r="560" spans="1:4" x14ac:dyDescent="0.25">
      <c r="A560">
        <f>IF('Labeled Data'!J560=1, 1, "")</f>
        <v>1</v>
      </c>
      <c r="B560" s="5">
        <v>558</v>
      </c>
      <c r="C560" t="s">
        <v>573</v>
      </c>
      <c r="D560" t="str">
        <f>IF('Labeled Data'!W560=1, 'Labeled Data'!Y560, "")</f>
        <v>trust</v>
      </c>
    </row>
    <row r="561" spans="1:4" x14ac:dyDescent="0.25">
      <c r="A561" t="str">
        <f>IF('Labeled Data'!J561=1, 1, "")</f>
        <v/>
      </c>
      <c r="B561" s="5">
        <v>559</v>
      </c>
      <c r="C561" t="s">
        <v>574</v>
      </c>
      <c r="D561" t="str">
        <f>IF('Labeled Data'!W561=1, 'Labeled Data'!Y561, "")</f>
        <v>joy</v>
      </c>
    </row>
    <row r="562" spans="1:4" x14ac:dyDescent="0.25">
      <c r="A562" t="str">
        <f>IF('Labeled Data'!J562=1, 1, "")</f>
        <v/>
      </c>
      <c r="B562" s="5">
        <v>560</v>
      </c>
      <c r="C562" t="s">
        <v>575</v>
      </c>
      <c r="D562" t="str">
        <f>IF('Labeled Data'!W562=1, 'Labeled Data'!Y562, "")</f>
        <v>joy</v>
      </c>
    </row>
    <row r="563" spans="1:4" x14ac:dyDescent="0.25">
      <c r="A563" t="str">
        <f>IF('Labeled Data'!J563=1, 1, "")</f>
        <v/>
      </c>
      <c r="B563" s="5">
        <v>561</v>
      </c>
      <c r="C563" t="s">
        <v>576</v>
      </c>
      <c r="D563" t="str">
        <f>IF('Labeled Data'!W563=1, 'Labeled Data'!Y563, "")</f>
        <v>joy</v>
      </c>
    </row>
    <row r="564" spans="1:4" x14ac:dyDescent="0.25">
      <c r="A564" t="str">
        <f>IF('Labeled Data'!J564=1, 1, "")</f>
        <v/>
      </c>
      <c r="B564" s="5">
        <v>562</v>
      </c>
      <c r="C564" t="s">
        <v>577</v>
      </c>
      <c r="D564" t="str">
        <f>IF('Labeled Data'!W564=1, 'Labeled Data'!Y564, "")</f>
        <v>joy</v>
      </c>
    </row>
    <row r="565" spans="1:4" x14ac:dyDescent="0.25">
      <c r="A565" t="str">
        <f>IF('Labeled Data'!J565=1, 1, "")</f>
        <v/>
      </c>
      <c r="B565" s="5">
        <v>563</v>
      </c>
      <c r="C565" t="s">
        <v>578</v>
      </c>
      <c r="D565" t="str">
        <f>IF('Labeled Data'!W565=1, 'Labeled Data'!Y565, "")</f>
        <v>joy</v>
      </c>
    </row>
    <row r="566" spans="1:4" x14ac:dyDescent="0.25">
      <c r="A566" t="str">
        <f>IF('Labeled Data'!J566=1, 1, "")</f>
        <v/>
      </c>
      <c r="B566" s="5">
        <v>564</v>
      </c>
      <c r="C566" t="s">
        <v>579</v>
      </c>
      <c r="D566" t="str">
        <f>IF('Labeled Data'!W566=1, 'Labeled Data'!Y566, "")</f>
        <v>sadness</v>
      </c>
    </row>
    <row r="567" spans="1:4" x14ac:dyDescent="0.25">
      <c r="A567">
        <f>IF('Labeled Data'!J567=1, 1, "")</f>
        <v>1</v>
      </c>
      <c r="B567" s="5">
        <v>565</v>
      </c>
      <c r="C567" t="s">
        <v>580</v>
      </c>
      <c r="D567" t="str">
        <f>IF('Labeled Data'!W567=1, 'Labeled Data'!Y567, "")</f>
        <v>joy</v>
      </c>
    </row>
    <row r="568" spans="1:4" x14ac:dyDescent="0.25">
      <c r="A568">
        <f>IF('Labeled Data'!J568=1, 1, "")</f>
        <v>1</v>
      </c>
      <c r="B568" s="5">
        <v>566</v>
      </c>
      <c r="C568" t="s">
        <v>581</v>
      </c>
      <c r="D568" t="str">
        <f>IF('Labeled Data'!W568=1, 'Labeled Data'!Y568, "")</f>
        <v>sadness</v>
      </c>
    </row>
    <row r="569" spans="1:4" x14ac:dyDescent="0.25">
      <c r="A569" t="str">
        <f>IF('Labeled Data'!J569=1, 1, "")</f>
        <v/>
      </c>
      <c r="B569" s="5">
        <v>567</v>
      </c>
      <c r="C569" t="s">
        <v>582</v>
      </c>
      <c r="D569" t="str">
        <f>IF('Labeled Data'!W569=1, 'Labeled Data'!Y569, "")</f>
        <v>joy</v>
      </c>
    </row>
    <row r="570" spans="1:4" x14ac:dyDescent="0.25">
      <c r="A570" t="str">
        <f>IF('Labeled Data'!J570=1, 1, "")</f>
        <v/>
      </c>
      <c r="B570" s="5">
        <v>568</v>
      </c>
      <c r="C570" t="s">
        <v>583</v>
      </c>
      <c r="D570" t="str">
        <f>IF('Labeled Data'!W570=1, 'Labeled Data'!Y570, "")</f>
        <v>joy</v>
      </c>
    </row>
    <row r="571" spans="1:4" x14ac:dyDescent="0.25">
      <c r="A571" t="str">
        <f>IF('Labeled Data'!J571=1, 1, "")</f>
        <v/>
      </c>
      <c r="B571" s="5">
        <v>569</v>
      </c>
      <c r="C571" t="s">
        <v>584</v>
      </c>
      <c r="D571" t="str">
        <f>IF('Labeled Data'!W571=1, 'Labeled Data'!Y571, "")</f>
        <v>joy</v>
      </c>
    </row>
    <row r="572" spans="1:4" x14ac:dyDescent="0.25">
      <c r="A572" t="str">
        <f>IF('Labeled Data'!J572=1, 1, "")</f>
        <v/>
      </c>
      <c r="B572" s="5">
        <v>570</v>
      </c>
      <c r="C572" t="s">
        <v>585</v>
      </c>
      <c r="D572" t="str">
        <f>IF('Labeled Data'!W572=1, 'Labeled Data'!Y572, "")</f>
        <v>joy</v>
      </c>
    </row>
    <row r="573" spans="1:4" x14ac:dyDescent="0.25">
      <c r="A573" t="str">
        <f>IF('Labeled Data'!J573=1, 1, "")</f>
        <v/>
      </c>
      <c r="B573" s="5">
        <v>571</v>
      </c>
      <c r="C573" t="s">
        <v>586</v>
      </c>
      <c r="D573" t="str">
        <f>IF('Labeled Data'!W573=1, 'Labeled Data'!Y573, "")</f>
        <v>joy</v>
      </c>
    </row>
    <row r="574" spans="1:4" x14ac:dyDescent="0.25">
      <c r="A574" t="str">
        <f>IF('Labeled Data'!J574=1, 1, "")</f>
        <v/>
      </c>
      <c r="B574" s="5">
        <v>572</v>
      </c>
      <c r="C574" t="s">
        <v>587</v>
      </c>
      <c r="D574" t="str">
        <f>IF('Labeled Data'!W574=1, 'Labeled Data'!Y574, "")</f>
        <v>joy</v>
      </c>
    </row>
    <row r="575" spans="1:4" x14ac:dyDescent="0.25">
      <c r="A575" t="str">
        <f>IF('Labeled Data'!J575=1, 1, "")</f>
        <v/>
      </c>
      <c r="B575" s="5">
        <v>573</v>
      </c>
      <c r="C575" t="s">
        <v>588</v>
      </c>
      <c r="D575" t="str">
        <f>IF('Labeled Data'!W575=1, 'Labeled Data'!Y575, "")</f>
        <v>joy</v>
      </c>
    </row>
    <row r="576" spans="1:4" x14ac:dyDescent="0.25">
      <c r="A576" t="str">
        <f>IF('Labeled Data'!J576=1, 1, "")</f>
        <v/>
      </c>
      <c r="B576" s="5">
        <v>574</v>
      </c>
      <c r="C576" t="s">
        <v>589</v>
      </c>
      <c r="D576" t="str">
        <f>IF('Labeled Data'!W576=1, 'Labeled Data'!Y576, "")</f>
        <v>joy</v>
      </c>
    </row>
    <row r="577" spans="1:4" x14ac:dyDescent="0.25">
      <c r="A577" t="str">
        <f>IF('Labeled Data'!J577=1, 1, "")</f>
        <v/>
      </c>
      <c r="B577" s="5">
        <v>575</v>
      </c>
      <c r="C577" t="s">
        <v>590</v>
      </c>
      <c r="D577" t="str">
        <f>IF('Labeled Data'!W577=1, 'Labeled Data'!Y577, "")</f>
        <v>joy</v>
      </c>
    </row>
    <row r="578" spans="1:4" x14ac:dyDescent="0.25">
      <c r="A578" t="str">
        <f>IF('Labeled Data'!J578=1, 1, "")</f>
        <v/>
      </c>
      <c r="B578" s="5">
        <v>576</v>
      </c>
      <c r="C578" t="s">
        <v>591</v>
      </c>
      <c r="D578" t="str">
        <f>IF('Labeled Data'!W578=1, 'Labeled Data'!Y578, "")</f>
        <v>joy</v>
      </c>
    </row>
    <row r="579" spans="1:4" x14ac:dyDescent="0.25">
      <c r="A579" t="str">
        <f>IF('Labeled Data'!J579=1, 1, "")</f>
        <v/>
      </c>
      <c r="B579" s="5">
        <v>577</v>
      </c>
      <c r="C579" t="s">
        <v>592</v>
      </c>
      <c r="D579" t="str">
        <f>IF('Labeled Data'!W579=1, 'Labeled Data'!Y579, "")</f>
        <v>joy</v>
      </c>
    </row>
    <row r="580" spans="1:4" x14ac:dyDescent="0.25">
      <c r="A580" t="str">
        <f>IF('Labeled Data'!J580=1, 1, "")</f>
        <v/>
      </c>
      <c r="B580" s="5">
        <v>578</v>
      </c>
      <c r="C580" t="s">
        <v>593</v>
      </c>
      <c r="D580" t="str">
        <f>IF('Labeled Data'!W580=1, 'Labeled Data'!Y580, "")</f>
        <v>joy</v>
      </c>
    </row>
    <row r="581" spans="1:4" x14ac:dyDescent="0.25">
      <c r="A581" t="str">
        <f>IF('Labeled Data'!J581=1, 1, "")</f>
        <v/>
      </c>
      <c r="B581" s="5">
        <v>579</v>
      </c>
      <c r="C581" t="s">
        <v>594</v>
      </c>
      <c r="D581" t="str">
        <f>IF('Labeled Data'!W581=1, 'Labeled Data'!Y581, "")</f>
        <v>joy</v>
      </c>
    </row>
    <row r="582" spans="1:4" x14ac:dyDescent="0.25">
      <c r="A582" t="str">
        <f>IF('Labeled Data'!J582=1, 1, "")</f>
        <v/>
      </c>
      <c r="B582" s="5">
        <v>580</v>
      </c>
      <c r="C582" t="s">
        <v>595</v>
      </c>
      <c r="D582" t="str">
        <f>IF('Labeled Data'!W582=1, 'Labeled Data'!Y582, "")</f>
        <v>joy</v>
      </c>
    </row>
    <row r="583" spans="1:4" x14ac:dyDescent="0.25">
      <c r="A583" t="str">
        <f>IF('Labeled Data'!J583=1, 1, "")</f>
        <v/>
      </c>
      <c r="B583" s="5">
        <v>581</v>
      </c>
      <c r="C583" t="s">
        <v>596</v>
      </c>
      <c r="D583" t="str">
        <f>IF('Labeled Data'!W583=1, 'Labeled Data'!Y583, "")</f>
        <v>joy</v>
      </c>
    </row>
    <row r="584" spans="1:4" x14ac:dyDescent="0.25">
      <c r="A584" t="str">
        <f>IF('Labeled Data'!J584=1, 1, "")</f>
        <v/>
      </c>
      <c r="B584" s="5">
        <v>582</v>
      </c>
      <c r="C584" t="s">
        <v>597</v>
      </c>
      <c r="D584" t="str">
        <f>IF('Labeled Data'!W584=1, 'Labeled Data'!Y584, "")</f>
        <v>joy</v>
      </c>
    </row>
    <row r="585" spans="1:4" x14ac:dyDescent="0.25">
      <c r="A585" t="str">
        <f>IF('Labeled Data'!J585=1, 1, "")</f>
        <v/>
      </c>
      <c r="B585" s="5">
        <v>583</v>
      </c>
      <c r="C585" t="s">
        <v>598</v>
      </c>
      <c r="D585" t="str">
        <f>IF('Labeled Data'!W585=1, 'Labeled Data'!Y585, "")</f>
        <v>joy</v>
      </c>
    </row>
    <row r="586" spans="1:4" x14ac:dyDescent="0.25">
      <c r="A586" t="str">
        <f>IF('Labeled Data'!J586=1, 1, "")</f>
        <v/>
      </c>
      <c r="B586" s="5">
        <v>584</v>
      </c>
      <c r="C586" t="s">
        <v>599</v>
      </c>
      <c r="D586" t="str">
        <f>IF('Labeled Data'!W586=1, 'Labeled Data'!Y586, "")</f>
        <v>joy</v>
      </c>
    </row>
    <row r="587" spans="1:4" x14ac:dyDescent="0.25">
      <c r="A587" t="str">
        <f>IF('Labeled Data'!J587=1, 1, "")</f>
        <v/>
      </c>
      <c r="B587" s="5">
        <v>585</v>
      </c>
      <c r="C587" t="s">
        <v>600</v>
      </c>
      <c r="D587" t="str">
        <f>IF('Labeled Data'!W587=1, 'Labeled Data'!Y587, "")</f>
        <v>joy</v>
      </c>
    </row>
    <row r="588" spans="1:4" x14ac:dyDescent="0.25">
      <c r="A588" t="str">
        <f>IF('Labeled Data'!J588=1, 1, "")</f>
        <v/>
      </c>
      <c r="B588" s="5">
        <v>586</v>
      </c>
      <c r="C588" t="s">
        <v>601</v>
      </c>
      <c r="D588" t="str">
        <f>IF('Labeled Data'!W588=1, 'Labeled Data'!Y588, "")</f>
        <v>joy</v>
      </c>
    </row>
    <row r="589" spans="1:4" x14ac:dyDescent="0.25">
      <c r="A589" t="str">
        <f>IF('Labeled Data'!J589=1, 1, "")</f>
        <v/>
      </c>
      <c r="B589" s="5">
        <v>587</v>
      </c>
      <c r="C589" t="s">
        <v>602</v>
      </c>
      <c r="D589" t="str">
        <f>IF('Labeled Data'!W589=1, 'Labeled Data'!Y589, "")</f>
        <v>joy</v>
      </c>
    </row>
    <row r="590" spans="1:4" x14ac:dyDescent="0.25">
      <c r="A590" t="str">
        <f>IF('Labeled Data'!J590=1, 1, "")</f>
        <v/>
      </c>
      <c r="B590" s="5">
        <v>588</v>
      </c>
      <c r="C590" t="s">
        <v>603</v>
      </c>
      <c r="D590" t="str">
        <f>IF('Labeled Data'!W590=1, 'Labeled Data'!Y590, "")</f>
        <v>joy</v>
      </c>
    </row>
    <row r="591" spans="1:4" x14ac:dyDescent="0.25">
      <c r="A591" t="str">
        <f>IF('Labeled Data'!J591=1, 1, "")</f>
        <v/>
      </c>
      <c r="B591" s="5">
        <v>589</v>
      </c>
      <c r="C591" t="s">
        <v>604</v>
      </c>
      <c r="D591" t="str">
        <f>IF('Labeled Data'!W591=1, 'Labeled Data'!Y591, "")</f>
        <v>joy</v>
      </c>
    </row>
    <row r="592" spans="1:4" x14ac:dyDescent="0.25">
      <c r="A592" t="str">
        <f>IF('Labeled Data'!J592=1, 1, "")</f>
        <v/>
      </c>
      <c r="B592" s="5">
        <v>590</v>
      </c>
      <c r="C592" t="s">
        <v>605</v>
      </c>
      <c r="D592" t="str">
        <f>IF('Labeled Data'!W592=1, 'Labeled Data'!Y592, "")</f>
        <v>joy</v>
      </c>
    </row>
    <row r="593" spans="1:4" x14ac:dyDescent="0.25">
      <c r="A593" t="str">
        <f>IF('Labeled Data'!J593=1, 1, "")</f>
        <v/>
      </c>
      <c r="B593" s="5">
        <v>591</v>
      </c>
      <c r="C593" t="s">
        <v>606</v>
      </c>
      <c r="D593" t="str">
        <f>IF('Labeled Data'!W593=1, 'Labeled Data'!Y593, "")</f>
        <v>joy</v>
      </c>
    </row>
    <row r="594" spans="1:4" x14ac:dyDescent="0.25">
      <c r="A594" t="str">
        <f>IF('Labeled Data'!J594=1, 1, "")</f>
        <v/>
      </c>
      <c r="B594" s="5">
        <v>592</v>
      </c>
      <c r="C594" t="s">
        <v>607</v>
      </c>
      <c r="D594" t="str">
        <f>IF('Labeled Data'!W594=1, 'Labeled Data'!Y594, "")</f>
        <v>joy</v>
      </c>
    </row>
    <row r="595" spans="1:4" x14ac:dyDescent="0.25">
      <c r="A595" t="str">
        <f>IF('Labeled Data'!J595=1, 1, "")</f>
        <v/>
      </c>
      <c r="B595" s="5">
        <v>593</v>
      </c>
      <c r="C595" t="s">
        <v>608</v>
      </c>
      <c r="D595" t="str">
        <f>IF('Labeled Data'!W595=1, 'Labeled Data'!Y595, "")</f>
        <v>joy</v>
      </c>
    </row>
    <row r="596" spans="1:4" x14ac:dyDescent="0.25">
      <c r="A596" t="str">
        <f>IF('Labeled Data'!J596=1, 1, "")</f>
        <v/>
      </c>
      <c r="B596" s="5">
        <v>594</v>
      </c>
      <c r="C596" t="s">
        <v>609</v>
      </c>
      <c r="D596" t="str">
        <f>IF('Labeled Data'!W596=1, 'Labeled Data'!Y596, "")</f>
        <v>joy</v>
      </c>
    </row>
    <row r="597" spans="1:4" x14ac:dyDescent="0.25">
      <c r="A597" t="str">
        <f>IF('Labeled Data'!J597=1, 1, "")</f>
        <v/>
      </c>
      <c r="B597" s="5">
        <v>595</v>
      </c>
      <c r="C597" t="s">
        <v>610</v>
      </c>
      <c r="D597" t="str">
        <f>IF('Labeled Data'!W597=1, 'Labeled Data'!Y597, "")</f>
        <v>joy</v>
      </c>
    </row>
    <row r="598" spans="1:4" x14ac:dyDescent="0.25">
      <c r="A598" t="str">
        <f>IF('Labeled Data'!J598=1, 1, "")</f>
        <v/>
      </c>
      <c r="B598" s="5">
        <v>596</v>
      </c>
      <c r="C598" t="s">
        <v>611</v>
      </c>
      <c r="D598" t="str">
        <f>IF('Labeled Data'!W598=1, 'Labeled Data'!Y598, "")</f>
        <v>joy</v>
      </c>
    </row>
    <row r="599" spans="1:4" x14ac:dyDescent="0.25">
      <c r="A599" t="str">
        <f>IF('Labeled Data'!J599=1, 1, "")</f>
        <v/>
      </c>
      <c r="B599" s="5">
        <v>597</v>
      </c>
      <c r="C599" t="s">
        <v>612</v>
      </c>
      <c r="D599" t="str">
        <f>IF('Labeled Data'!W599=1, 'Labeled Data'!Y599, "")</f>
        <v>joy</v>
      </c>
    </row>
    <row r="600" spans="1:4" x14ac:dyDescent="0.25">
      <c r="A600" t="str">
        <f>IF('Labeled Data'!J600=1, 1, "")</f>
        <v/>
      </c>
      <c r="B600" s="5">
        <v>598</v>
      </c>
      <c r="C600" t="s">
        <v>613</v>
      </c>
      <c r="D600" t="str">
        <f>IF('Labeled Data'!W600=1, 'Labeled Data'!Y600, "")</f>
        <v>joy</v>
      </c>
    </row>
    <row r="601" spans="1:4" x14ac:dyDescent="0.25">
      <c r="A601" t="str">
        <f>IF('Labeled Data'!J601=1, 1, "")</f>
        <v/>
      </c>
      <c r="B601" s="5">
        <v>599</v>
      </c>
      <c r="C601" t="s">
        <v>614</v>
      </c>
      <c r="D601" t="str">
        <f>IF('Labeled Data'!W601=1, 'Labeled Data'!Y601, "")</f>
        <v>joy</v>
      </c>
    </row>
    <row r="602" spans="1:4" x14ac:dyDescent="0.25">
      <c r="A602">
        <f>IF('Labeled Data'!J602=1, 1, "")</f>
        <v>1</v>
      </c>
      <c r="B602" s="5">
        <v>600</v>
      </c>
      <c r="C602" t="s">
        <v>615</v>
      </c>
      <c r="D602" t="str">
        <f>IF('Labeled Data'!W602=1, 'Labeled Data'!Y602, "")</f>
        <v>sadness</v>
      </c>
    </row>
    <row r="603" spans="1:4" x14ac:dyDescent="0.25">
      <c r="A603" t="str">
        <f>IF('Labeled Data'!J603=1, 1, "")</f>
        <v/>
      </c>
      <c r="B603" s="5">
        <v>601</v>
      </c>
      <c r="C603" t="s">
        <v>616</v>
      </c>
      <c r="D603" t="str">
        <f>IF('Labeled Data'!W603=1, 'Labeled Data'!Y603, "")</f>
        <v>joy</v>
      </c>
    </row>
    <row r="604" spans="1:4" x14ac:dyDescent="0.25">
      <c r="A604" t="str">
        <f>IF('Labeled Data'!J604=1, 1, "")</f>
        <v/>
      </c>
      <c r="B604" s="5">
        <v>602</v>
      </c>
      <c r="C604" t="s">
        <v>617</v>
      </c>
      <c r="D604" t="str">
        <f>IF('Labeled Data'!W604=1, 'Labeled Data'!Y604, "")</f>
        <v>joy</v>
      </c>
    </row>
    <row r="605" spans="1:4" x14ac:dyDescent="0.25">
      <c r="A605" t="str">
        <f>IF('Labeled Data'!J605=1, 1, "")</f>
        <v/>
      </c>
      <c r="B605" s="5">
        <v>603</v>
      </c>
      <c r="C605" t="s">
        <v>618</v>
      </c>
      <c r="D605" t="str">
        <f>IF('Labeled Data'!W605=1, 'Labeled Data'!Y605, "")</f>
        <v>joy</v>
      </c>
    </row>
    <row r="606" spans="1:4" x14ac:dyDescent="0.25">
      <c r="A606" t="str">
        <f>IF('Labeled Data'!J606=1, 1, "")</f>
        <v/>
      </c>
      <c r="B606" s="5">
        <v>604</v>
      </c>
      <c r="C606" t="s">
        <v>619</v>
      </c>
      <c r="D606" t="str">
        <f>IF('Labeled Data'!W606=1, 'Labeled Data'!Y606, "")</f>
        <v>joy</v>
      </c>
    </row>
    <row r="607" spans="1:4" x14ac:dyDescent="0.25">
      <c r="A607" t="str">
        <f>IF('Labeled Data'!J607=1, 1, "")</f>
        <v/>
      </c>
      <c r="B607" s="5">
        <v>605</v>
      </c>
      <c r="C607" t="s">
        <v>620</v>
      </c>
      <c r="D607" t="str">
        <f>IF('Labeled Data'!W607=1, 'Labeled Data'!Y607, "")</f>
        <v>joy</v>
      </c>
    </row>
    <row r="608" spans="1:4" x14ac:dyDescent="0.25">
      <c r="A608" t="str">
        <f>IF('Labeled Data'!J608=1, 1, "")</f>
        <v/>
      </c>
      <c r="B608" s="5">
        <v>606</v>
      </c>
      <c r="C608" t="s">
        <v>621</v>
      </c>
      <c r="D608" t="str">
        <f>IF('Labeled Data'!W608=1, 'Labeled Data'!Y608, "")</f>
        <v>joy</v>
      </c>
    </row>
    <row r="609" spans="1:4" x14ac:dyDescent="0.25">
      <c r="A609" t="str">
        <f>IF('Labeled Data'!J609=1, 1, "")</f>
        <v/>
      </c>
      <c r="B609" s="5">
        <v>607</v>
      </c>
      <c r="C609" t="s">
        <v>622</v>
      </c>
      <c r="D609" t="str">
        <f>IF('Labeled Data'!W609=1, 'Labeled Data'!Y609, "")</f>
        <v>joy</v>
      </c>
    </row>
    <row r="610" spans="1:4" x14ac:dyDescent="0.25">
      <c r="A610" t="str">
        <f>IF('Labeled Data'!J610=1, 1, "")</f>
        <v/>
      </c>
      <c r="B610" s="5">
        <v>608</v>
      </c>
      <c r="C610" t="s">
        <v>623</v>
      </c>
      <c r="D610" t="str">
        <f>IF('Labeled Data'!W610=1, 'Labeled Data'!Y610, "")</f>
        <v>joy</v>
      </c>
    </row>
    <row r="611" spans="1:4" x14ac:dyDescent="0.25">
      <c r="A611" t="str">
        <f>IF('Labeled Data'!J611=1, 1, "")</f>
        <v/>
      </c>
      <c r="B611" s="5">
        <v>609</v>
      </c>
      <c r="C611" t="s">
        <v>624</v>
      </c>
      <c r="D611" t="str">
        <f>IF('Labeled Data'!W611=1, 'Labeled Data'!Y611, "")</f>
        <v>joy</v>
      </c>
    </row>
    <row r="612" spans="1:4" x14ac:dyDescent="0.25">
      <c r="A612" t="str">
        <f>IF('Labeled Data'!J612=1, 1, "")</f>
        <v/>
      </c>
      <c r="B612" s="5">
        <v>610</v>
      </c>
      <c r="C612" t="s">
        <v>625</v>
      </c>
      <c r="D612" t="str">
        <f>IF('Labeled Data'!W612=1, 'Labeled Data'!Y612, "")</f>
        <v>joy</v>
      </c>
    </row>
    <row r="613" spans="1:4" x14ac:dyDescent="0.25">
      <c r="A613" t="str">
        <f>IF('Labeled Data'!J613=1, 1, "")</f>
        <v/>
      </c>
      <c r="B613" s="5">
        <v>611</v>
      </c>
      <c r="C613" t="s">
        <v>626</v>
      </c>
      <c r="D613" t="str">
        <f>IF('Labeled Data'!W613=1, 'Labeled Data'!Y613, "")</f>
        <v>joy</v>
      </c>
    </row>
    <row r="614" spans="1:4" x14ac:dyDescent="0.25">
      <c r="A614" t="str">
        <f>IF('Labeled Data'!J614=1, 1, "")</f>
        <v/>
      </c>
      <c r="B614" s="5">
        <v>612</v>
      </c>
      <c r="C614" t="s">
        <v>627</v>
      </c>
      <c r="D614" t="str">
        <f>IF('Labeled Data'!W614=1, 'Labeled Data'!Y614, "")</f>
        <v>joy</v>
      </c>
    </row>
    <row r="615" spans="1:4" x14ac:dyDescent="0.25">
      <c r="A615" t="str">
        <f>IF('Labeled Data'!J615=1, 1, "")</f>
        <v/>
      </c>
      <c r="B615" s="5">
        <v>613</v>
      </c>
      <c r="C615" t="s">
        <v>628</v>
      </c>
      <c r="D615" t="str">
        <f>IF('Labeled Data'!W615=1, 'Labeled Data'!Y615, "")</f>
        <v>joy</v>
      </c>
    </row>
    <row r="616" spans="1:4" x14ac:dyDescent="0.25">
      <c r="A616" t="str">
        <f>IF('Labeled Data'!J616=1, 1, "")</f>
        <v/>
      </c>
      <c r="B616" s="5">
        <v>614</v>
      </c>
      <c r="C616" t="s">
        <v>629</v>
      </c>
      <c r="D616" t="str">
        <f>IF('Labeled Data'!W616=1, 'Labeled Data'!Y616, "")</f>
        <v>joy</v>
      </c>
    </row>
    <row r="617" spans="1:4" x14ac:dyDescent="0.25">
      <c r="A617" t="str">
        <f>IF('Labeled Data'!J617=1, 1, "")</f>
        <v/>
      </c>
      <c r="B617" s="5">
        <v>615</v>
      </c>
      <c r="C617" t="s">
        <v>630</v>
      </c>
      <c r="D617" t="str">
        <f>IF('Labeled Data'!W617=1, 'Labeled Data'!Y617, "")</f>
        <v>joy</v>
      </c>
    </row>
    <row r="618" spans="1:4" x14ac:dyDescent="0.25">
      <c r="A618" t="str">
        <f>IF('Labeled Data'!J618=1, 1, "")</f>
        <v/>
      </c>
      <c r="B618" s="5">
        <v>616</v>
      </c>
      <c r="C618" t="s">
        <v>631</v>
      </c>
      <c r="D618" t="str">
        <f>IF('Labeled Data'!W618=1, 'Labeled Data'!Y618, "")</f>
        <v>joy</v>
      </c>
    </row>
    <row r="619" spans="1:4" x14ac:dyDescent="0.25">
      <c r="A619" t="str">
        <f>IF('Labeled Data'!J619=1, 1, "")</f>
        <v/>
      </c>
      <c r="B619" s="5">
        <v>617</v>
      </c>
      <c r="C619" t="s">
        <v>632</v>
      </c>
      <c r="D619" t="str">
        <f>IF('Labeled Data'!W619=1, 'Labeled Data'!Y619, "")</f>
        <v>joy</v>
      </c>
    </row>
    <row r="620" spans="1:4" x14ac:dyDescent="0.25">
      <c r="A620" t="str">
        <f>IF('Labeled Data'!J620=1, 1, "")</f>
        <v/>
      </c>
      <c r="B620" s="5">
        <v>618</v>
      </c>
      <c r="C620" t="s">
        <v>633</v>
      </c>
      <c r="D620" t="str">
        <f>IF('Labeled Data'!W620=1, 'Labeled Data'!Y620, "")</f>
        <v>joy</v>
      </c>
    </row>
    <row r="621" spans="1:4" x14ac:dyDescent="0.25">
      <c r="A621" t="str">
        <f>IF('Labeled Data'!J621=1, 1, "")</f>
        <v/>
      </c>
      <c r="B621" s="5">
        <v>619</v>
      </c>
      <c r="C621" t="s">
        <v>634</v>
      </c>
      <c r="D621" t="str">
        <f>IF('Labeled Data'!W621=1, 'Labeled Data'!Y621, "")</f>
        <v>joy</v>
      </c>
    </row>
    <row r="622" spans="1:4" x14ac:dyDescent="0.25">
      <c r="A622" t="str">
        <f>IF('Labeled Data'!J622=1, 1, "")</f>
        <v/>
      </c>
      <c r="B622" s="5">
        <v>620</v>
      </c>
      <c r="C622" t="s">
        <v>635</v>
      </c>
      <c r="D622" t="str">
        <f>IF('Labeled Data'!W622=1, 'Labeled Data'!Y622, "")</f>
        <v>joy</v>
      </c>
    </row>
    <row r="623" spans="1:4" x14ac:dyDescent="0.25">
      <c r="A623" t="str">
        <f>IF('Labeled Data'!J623=1, 1, "")</f>
        <v/>
      </c>
      <c r="B623" s="5">
        <v>621</v>
      </c>
      <c r="C623" t="s">
        <v>636</v>
      </c>
      <c r="D623" t="str">
        <f>IF('Labeled Data'!W623=1, 'Labeled Data'!Y623, "")</f>
        <v>joy</v>
      </c>
    </row>
    <row r="624" spans="1:4" x14ac:dyDescent="0.25">
      <c r="A624" t="str">
        <f>IF('Labeled Data'!J624=1, 1, "")</f>
        <v/>
      </c>
      <c r="B624" s="5">
        <v>622</v>
      </c>
      <c r="C624" t="s">
        <v>637</v>
      </c>
      <c r="D624" t="str">
        <f>IF('Labeled Data'!W624=1, 'Labeled Data'!Y624, "")</f>
        <v>joy</v>
      </c>
    </row>
    <row r="625" spans="1:4" x14ac:dyDescent="0.25">
      <c r="A625" t="str">
        <f>IF('Labeled Data'!J625=1, 1, "")</f>
        <v/>
      </c>
      <c r="B625" s="5">
        <v>623</v>
      </c>
      <c r="C625" t="s">
        <v>638</v>
      </c>
      <c r="D625" t="str">
        <f>IF('Labeled Data'!W625=1, 'Labeled Data'!Y625, "")</f>
        <v>joy</v>
      </c>
    </row>
    <row r="626" spans="1:4" x14ac:dyDescent="0.25">
      <c r="A626" t="str">
        <f>IF('Labeled Data'!J626=1, 1, "")</f>
        <v/>
      </c>
      <c r="B626" s="5">
        <v>624</v>
      </c>
      <c r="C626" t="s">
        <v>639</v>
      </c>
      <c r="D626" t="str">
        <f>IF('Labeled Data'!W626=1, 'Labeled Data'!Y626, "")</f>
        <v>joy</v>
      </c>
    </row>
    <row r="627" spans="1:4" x14ac:dyDescent="0.25">
      <c r="A627" t="str">
        <f>IF('Labeled Data'!J627=1, 1, "")</f>
        <v/>
      </c>
      <c r="B627" s="5">
        <v>625</v>
      </c>
      <c r="C627" t="s">
        <v>640</v>
      </c>
      <c r="D627" t="str">
        <f>IF('Labeled Data'!W627=1, 'Labeled Data'!Y627, "")</f>
        <v>joy</v>
      </c>
    </row>
    <row r="628" spans="1:4" x14ac:dyDescent="0.25">
      <c r="A628" t="str">
        <f>IF('Labeled Data'!J628=1, 1, "")</f>
        <v/>
      </c>
      <c r="B628" s="5">
        <v>626</v>
      </c>
      <c r="C628" t="s">
        <v>641</v>
      </c>
      <c r="D628" t="str">
        <f>IF('Labeled Data'!W628=1, 'Labeled Data'!Y628, "")</f>
        <v>joy</v>
      </c>
    </row>
    <row r="629" spans="1:4" x14ac:dyDescent="0.25">
      <c r="A629" t="str">
        <f>IF('Labeled Data'!J629=1, 1, "")</f>
        <v/>
      </c>
      <c r="B629" s="5">
        <v>627</v>
      </c>
      <c r="C629" t="s">
        <v>642</v>
      </c>
      <c r="D629" t="str">
        <f>IF('Labeled Data'!W629=1, 'Labeled Data'!Y629, "")</f>
        <v>joy</v>
      </c>
    </row>
    <row r="630" spans="1:4" x14ac:dyDescent="0.25">
      <c r="A630" t="str">
        <f>IF('Labeled Data'!J630=1, 1, "")</f>
        <v/>
      </c>
      <c r="B630" s="5">
        <v>628</v>
      </c>
      <c r="C630" t="s">
        <v>643</v>
      </c>
      <c r="D630" t="str">
        <f>IF('Labeled Data'!W630=1, 'Labeled Data'!Y630, "")</f>
        <v>joy</v>
      </c>
    </row>
    <row r="631" spans="1:4" x14ac:dyDescent="0.25">
      <c r="A631" t="str">
        <f>IF('Labeled Data'!J631=1, 1, "")</f>
        <v/>
      </c>
      <c r="B631" s="5">
        <v>629</v>
      </c>
      <c r="C631" t="s">
        <v>644</v>
      </c>
      <c r="D631" t="str">
        <f>IF('Labeled Data'!W631=1, 'Labeled Data'!Y631, "")</f>
        <v>joy</v>
      </c>
    </row>
    <row r="632" spans="1:4" x14ac:dyDescent="0.25">
      <c r="A632">
        <f>IF('Labeled Data'!J632=1, 1, "")</f>
        <v>1</v>
      </c>
      <c r="B632" s="5">
        <v>630</v>
      </c>
      <c r="C632" t="s">
        <v>645</v>
      </c>
      <c r="D632" t="str">
        <f>IF('Labeled Data'!W632=1, 'Labeled Data'!Y632, "")</f>
        <v>sadness</v>
      </c>
    </row>
    <row r="633" spans="1:4" x14ac:dyDescent="0.25">
      <c r="A633">
        <f>IF('Labeled Data'!J633=1, 1, "")</f>
        <v>1</v>
      </c>
      <c r="B633" s="5">
        <v>631</v>
      </c>
      <c r="C633" t="s">
        <v>646</v>
      </c>
      <c r="D633" t="str">
        <f>IF('Labeled Data'!W633=1, 'Labeled Data'!Y633, "")</f>
        <v>joy</v>
      </c>
    </row>
    <row r="634" spans="1:4" x14ac:dyDescent="0.25">
      <c r="A634">
        <f>IF('Labeled Data'!J634=1, 1, "")</f>
        <v>1</v>
      </c>
      <c r="B634" s="5">
        <v>632</v>
      </c>
      <c r="C634" t="s">
        <v>647</v>
      </c>
      <c r="D634" t="str">
        <f>IF('Labeled Data'!W634=1, 'Labeled Data'!Y634, "")</f>
        <v>sadness</v>
      </c>
    </row>
    <row r="635" spans="1:4" x14ac:dyDescent="0.25">
      <c r="A635" t="str">
        <f>IF('Labeled Data'!J635=1, 1, "")</f>
        <v/>
      </c>
      <c r="B635" s="5">
        <v>633</v>
      </c>
      <c r="C635" t="s">
        <v>648</v>
      </c>
      <c r="D635" t="str">
        <f>IF('Labeled Data'!W635=1, 'Labeled Data'!Y635, "")</f>
        <v>joy</v>
      </c>
    </row>
    <row r="636" spans="1:4" x14ac:dyDescent="0.25">
      <c r="A636" t="str">
        <f>IF('Labeled Data'!J636=1, 1, "")</f>
        <v/>
      </c>
      <c r="B636" s="5">
        <v>634</v>
      </c>
      <c r="C636" t="s">
        <v>649</v>
      </c>
      <c r="D636" t="str">
        <f>IF('Labeled Data'!W636=1, 'Labeled Data'!Y636, "")</f>
        <v>joy</v>
      </c>
    </row>
    <row r="637" spans="1:4" x14ac:dyDescent="0.25">
      <c r="A637" t="str">
        <f>IF('Labeled Data'!J637=1, 1, "")</f>
        <v/>
      </c>
      <c r="B637" s="5">
        <v>635</v>
      </c>
      <c r="C637" t="s">
        <v>650</v>
      </c>
      <c r="D637" t="str">
        <f>IF('Labeled Data'!W637=1, 'Labeled Data'!Y637, "")</f>
        <v>joy</v>
      </c>
    </row>
    <row r="638" spans="1:4" x14ac:dyDescent="0.25">
      <c r="B638" s="11"/>
    </row>
    <row r="639" spans="1:4" x14ac:dyDescent="0.25">
      <c r="B639" s="11"/>
    </row>
    <row r="640" spans="1:4" x14ac:dyDescent="0.25">
      <c r="B640" s="11"/>
    </row>
    <row r="641" spans="2:2" x14ac:dyDescent="0.25">
      <c r="B641" s="11"/>
    </row>
    <row r="642" spans="2:2" x14ac:dyDescent="0.25">
      <c r="B642" s="11"/>
    </row>
    <row r="643" spans="2:2" x14ac:dyDescent="0.25">
      <c r="B643" s="11"/>
    </row>
    <row r="644" spans="2:2" x14ac:dyDescent="0.25">
      <c r="B644" s="11"/>
    </row>
    <row r="645" spans="2:2" x14ac:dyDescent="0.25">
      <c r="B645" s="11"/>
    </row>
    <row r="646" spans="2:2" x14ac:dyDescent="0.25">
      <c r="B646" s="11"/>
    </row>
    <row r="647" spans="2:2" x14ac:dyDescent="0.25">
      <c r="B647" s="11"/>
    </row>
    <row r="648" spans="2:2" x14ac:dyDescent="0.25">
      <c r="B648" s="11"/>
    </row>
    <row r="649" spans="2:2" x14ac:dyDescent="0.25">
      <c r="B649" s="11"/>
    </row>
    <row r="650" spans="2:2" x14ac:dyDescent="0.25">
      <c r="B650" s="11"/>
    </row>
    <row r="651" spans="2:2" x14ac:dyDescent="0.25">
      <c r="B651" s="11"/>
    </row>
    <row r="652" spans="2:2" x14ac:dyDescent="0.25">
      <c r="B652" s="11"/>
    </row>
    <row r="653" spans="2:2" x14ac:dyDescent="0.25">
      <c r="B653" s="11"/>
    </row>
    <row r="654" spans="2:2" x14ac:dyDescent="0.25">
      <c r="B654" s="11"/>
    </row>
    <row r="655" spans="2:2" x14ac:dyDescent="0.25">
      <c r="B655" s="11"/>
    </row>
    <row r="656" spans="2:2" x14ac:dyDescent="0.25">
      <c r="B656" s="11"/>
    </row>
    <row r="657" spans="2:2" x14ac:dyDescent="0.25">
      <c r="B657" s="11"/>
    </row>
    <row r="658" spans="2:2" x14ac:dyDescent="0.25">
      <c r="B658" s="11"/>
    </row>
    <row r="659" spans="2:2" x14ac:dyDescent="0.25">
      <c r="B659" s="11"/>
    </row>
    <row r="660" spans="2:2" x14ac:dyDescent="0.25">
      <c r="B660" s="11"/>
    </row>
    <row r="661" spans="2:2" x14ac:dyDescent="0.25">
      <c r="B661" s="11"/>
    </row>
    <row r="662" spans="2:2" x14ac:dyDescent="0.25">
      <c r="B662" s="11"/>
    </row>
    <row r="663" spans="2:2" x14ac:dyDescent="0.25">
      <c r="B663" s="11"/>
    </row>
    <row r="664" spans="2:2" x14ac:dyDescent="0.25">
      <c r="B664" s="11"/>
    </row>
    <row r="665" spans="2:2" x14ac:dyDescent="0.25">
      <c r="B665" s="11"/>
    </row>
    <row r="666" spans="2:2" x14ac:dyDescent="0.25">
      <c r="B666" s="11"/>
    </row>
    <row r="667" spans="2:2" x14ac:dyDescent="0.25">
      <c r="B667" s="11"/>
    </row>
    <row r="668" spans="2:2" x14ac:dyDescent="0.25">
      <c r="B668" s="11"/>
    </row>
    <row r="669" spans="2:2" x14ac:dyDescent="0.25">
      <c r="B669" s="11"/>
    </row>
    <row r="670" spans="2:2" x14ac:dyDescent="0.25">
      <c r="B670" s="11"/>
    </row>
    <row r="671" spans="2:2" x14ac:dyDescent="0.25">
      <c r="B671" s="11"/>
    </row>
    <row r="672" spans="2:2" x14ac:dyDescent="0.25">
      <c r="B672" s="11"/>
    </row>
    <row r="673" spans="2:2" x14ac:dyDescent="0.25">
      <c r="B673" s="11"/>
    </row>
    <row r="674" spans="2:2" x14ac:dyDescent="0.25">
      <c r="B674" s="11"/>
    </row>
    <row r="675" spans="2:2" x14ac:dyDescent="0.25">
      <c r="B675" s="11"/>
    </row>
    <row r="676" spans="2:2" x14ac:dyDescent="0.25">
      <c r="B676" s="11"/>
    </row>
    <row r="677" spans="2:2" x14ac:dyDescent="0.25">
      <c r="B677" s="11"/>
    </row>
    <row r="678" spans="2:2" x14ac:dyDescent="0.25">
      <c r="B678" s="11"/>
    </row>
    <row r="679" spans="2:2" x14ac:dyDescent="0.25">
      <c r="B679" s="11"/>
    </row>
    <row r="680" spans="2:2" x14ac:dyDescent="0.25">
      <c r="B680" s="11"/>
    </row>
    <row r="681" spans="2:2" x14ac:dyDescent="0.25">
      <c r="B681" s="11"/>
    </row>
    <row r="682" spans="2:2" x14ac:dyDescent="0.25">
      <c r="B682" s="11"/>
    </row>
    <row r="683" spans="2:2" x14ac:dyDescent="0.25">
      <c r="B683" s="11"/>
    </row>
    <row r="684" spans="2:2" x14ac:dyDescent="0.25">
      <c r="B684" s="11"/>
    </row>
    <row r="685" spans="2:2" x14ac:dyDescent="0.25">
      <c r="B685" s="11"/>
    </row>
    <row r="686" spans="2:2" x14ac:dyDescent="0.25">
      <c r="B686" s="11"/>
    </row>
    <row r="687" spans="2:2" x14ac:dyDescent="0.25">
      <c r="B687" s="11"/>
    </row>
    <row r="688" spans="2:2" x14ac:dyDescent="0.25">
      <c r="B688" s="11"/>
    </row>
    <row r="689" spans="2:2" x14ac:dyDescent="0.25">
      <c r="B689" s="11"/>
    </row>
    <row r="690" spans="2:2" x14ac:dyDescent="0.25">
      <c r="B690" s="11"/>
    </row>
    <row r="691" spans="2:2" x14ac:dyDescent="0.25">
      <c r="B691" s="11"/>
    </row>
    <row r="692" spans="2:2" x14ac:dyDescent="0.25">
      <c r="B692" s="11"/>
    </row>
    <row r="693" spans="2:2" x14ac:dyDescent="0.25">
      <c r="B693" s="11"/>
    </row>
    <row r="694" spans="2:2" x14ac:dyDescent="0.25">
      <c r="B694" s="11"/>
    </row>
    <row r="695" spans="2:2" x14ac:dyDescent="0.25">
      <c r="B695" s="11"/>
    </row>
    <row r="696" spans="2:2" x14ac:dyDescent="0.25">
      <c r="B696" s="11"/>
    </row>
    <row r="697" spans="2:2" x14ac:dyDescent="0.25">
      <c r="B697" s="11"/>
    </row>
    <row r="698" spans="2:2" x14ac:dyDescent="0.25">
      <c r="B698" s="11"/>
    </row>
    <row r="699" spans="2:2" x14ac:dyDescent="0.25">
      <c r="B699" s="11"/>
    </row>
    <row r="700" spans="2:2" x14ac:dyDescent="0.25">
      <c r="B700" s="11"/>
    </row>
    <row r="701" spans="2:2" x14ac:dyDescent="0.25">
      <c r="B701" s="11"/>
    </row>
    <row r="702" spans="2:2" x14ac:dyDescent="0.25">
      <c r="B702" s="11"/>
    </row>
    <row r="703" spans="2:2" x14ac:dyDescent="0.25">
      <c r="B703" s="11"/>
    </row>
    <row r="704" spans="2:2" x14ac:dyDescent="0.25">
      <c r="B704" s="11"/>
    </row>
    <row r="705" spans="2:2" x14ac:dyDescent="0.25">
      <c r="B705" s="11"/>
    </row>
    <row r="706" spans="2:2" x14ac:dyDescent="0.25">
      <c r="B706" s="11"/>
    </row>
    <row r="707" spans="2:2" x14ac:dyDescent="0.25">
      <c r="B707" s="11"/>
    </row>
    <row r="708" spans="2:2" x14ac:dyDescent="0.25">
      <c r="B708" s="11"/>
    </row>
    <row r="709" spans="2:2" x14ac:dyDescent="0.25">
      <c r="B709" s="11"/>
    </row>
    <row r="710" spans="2:2" x14ac:dyDescent="0.25">
      <c r="B710" s="11"/>
    </row>
    <row r="711" spans="2:2" x14ac:dyDescent="0.25">
      <c r="B711" s="11"/>
    </row>
    <row r="712" spans="2:2" x14ac:dyDescent="0.25">
      <c r="B712" s="11"/>
    </row>
    <row r="713" spans="2:2" x14ac:dyDescent="0.25">
      <c r="B713" s="11"/>
    </row>
    <row r="714" spans="2:2" x14ac:dyDescent="0.25">
      <c r="B714" s="11"/>
    </row>
    <row r="715" spans="2:2" x14ac:dyDescent="0.25">
      <c r="B715" s="11"/>
    </row>
    <row r="716" spans="2:2" x14ac:dyDescent="0.25">
      <c r="B716" s="11"/>
    </row>
    <row r="717" spans="2:2" x14ac:dyDescent="0.25">
      <c r="B717" s="11"/>
    </row>
    <row r="718" spans="2:2" x14ac:dyDescent="0.25">
      <c r="B718" s="11"/>
    </row>
    <row r="719" spans="2:2" x14ac:dyDescent="0.25">
      <c r="B719" s="11"/>
    </row>
    <row r="720" spans="2:2" x14ac:dyDescent="0.25">
      <c r="B720" s="11"/>
    </row>
    <row r="721" spans="2:2" x14ac:dyDescent="0.25">
      <c r="B721" s="11"/>
    </row>
    <row r="722" spans="2:2" x14ac:dyDescent="0.25">
      <c r="B722" s="11"/>
    </row>
    <row r="723" spans="2:2" x14ac:dyDescent="0.25">
      <c r="B723" s="11"/>
    </row>
    <row r="724" spans="2:2" x14ac:dyDescent="0.25">
      <c r="B724" s="11"/>
    </row>
    <row r="725" spans="2:2" x14ac:dyDescent="0.25">
      <c r="B725" s="11"/>
    </row>
    <row r="726" spans="2:2" x14ac:dyDescent="0.25">
      <c r="B726" s="11"/>
    </row>
    <row r="727" spans="2:2" x14ac:dyDescent="0.25">
      <c r="B727" s="11"/>
    </row>
    <row r="728" spans="2:2" x14ac:dyDescent="0.25">
      <c r="B728" s="11"/>
    </row>
    <row r="729" spans="2:2" x14ac:dyDescent="0.25">
      <c r="B729" s="11"/>
    </row>
    <row r="730" spans="2:2" x14ac:dyDescent="0.25">
      <c r="B730" s="11"/>
    </row>
    <row r="731" spans="2:2" x14ac:dyDescent="0.25">
      <c r="B731" s="11"/>
    </row>
    <row r="732" spans="2:2" x14ac:dyDescent="0.25">
      <c r="B732" s="11"/>
    </row>
    <row r="733" spans="2:2" x14ac:dyDescent="0.25">
      <c r="B733" s="11"/>
    </row>
    <row r="734" spans="2:2" x14ac:dyDescent="0.25">
      <c r="B734" s="11"/>
    </row>
    <row r="735" spans="2:2" x14ac:dyDescent="0.25">
      <c r="B735" s="11"/>
    </row>
    <row r="736" spans="2:2" x14ac:dyDescent="0.25">
      <c r="B736" s="11"/>
    </row>
    <row r="737" spans="2:2" x14ac:dyDescent="0.25">
      <c r="B737" s="11"/>
    </row>
    <row r="738" spans="2:2" x14ac:dyDescent="0.25">
      <c r="B738" s="11"/>
    </row>
    <row r="739" spans="2:2" x14ac:dyDescent="0.25">
      <c r="B739" s="11"/>
    </row>
    <row r="740" spans="2:2" x14ac:dyDescent="0.25">
      <c r="B740" s="11"/>
    </row>
    <row r="741" spans="2:2" x14ac:dyDescent="0.25">
      <c r="B741" s="11"/>
    </row>
    <row r="742" spans="2:2" x14ac:dyDescent="0.25">
      <c r="B742" s="11"/>
    </row>
    <row r="743" spans="2:2" x14ac:dyDescent="0.25">
      <c r="B743" s="11"/>
    </row>
    <row r="744" spans="2:2" x14ac:dyDescent="0.25">
      <c r="B744" s="11"/>
    </row>
    <row r="745" spans="2:2" x14ac:dyDescent="0.25">
      <c r="B745" s="11"/>
    </row>
    <row r="746" spans="2:2" x14ac:dyDescent="0.25">
      <c r="B746" s="11"/>
    </row>
    <row r="747" spans="2:2" x14ac:dyDescent="0.25">
      <c r="B747" s="11"/>
    </row>
    <row r="748" spans="2:2" x14ac:dyDescent="0.25">
      <c r="B748" s="11"/>
    </row>
    <row r="749" spans="2:2" x14ac:dyDescent="0.25">
      <c r="B749" s="11"/>
    </row>
    <row r="750" spans="2:2" x14ac:dyDescent="0.25">
      <c r="B750" s="11"/>
    </row>
    <row r="751" spans="2:2" x14ac:dyDescent="0.25">
      <c r="B751" s="11"/>
    </row>
    <row r="752" spans="2:2" x14ac:dyDescent="0.25">
      <c r="B752" s="11"/>
    </row>
    <row r="753" spans="2:2" x14ac:dyDescent="0.25">
      <c r="B753" s="11"/>
    </row>
    <row r="754" spans="2:2" x14ac:dyDescent="0.25">
      <c r="B754" s="11"/>
    </row>
    <row r="755" spans="2:2" x14ac:dyDescent="0.25">
      <c r="B755" s="11"/>
    </row>
    <row r="756" spans="2:2" x14ac:dyDescent="0.25">
      <c r="B756" s="11"/>
    </row>
    <row r="757" spans="2:2" x14ac:dyDescent="0.25">
      <c r="B757" s="11"/>
    </row>
    <row r="758" spans="2:2" x14ac:dyDescent="0.25">
      <c r="B758" s="11"/>
    </row>
    <row r="759" spans="2:2" x14ac:dyDescent="0.25">
      <c r="B759" s="11"/>
    </row>
    <row r="760" spans="2:2" x14ac:dyDescent="0.25">
      <c r="B760" s="11"/>
    </row>
    <row r="761" spans="2:2" x14ac:dyDescent="0.25">
      <c r="B761" s="11"/>
    </row>
    <row r="762" spans="2:2" x14ac:dyDescent="0.25">
      <c r="B762" s="11"/>
    </row>
    <row r="763" spans="2:2" x14ac:dyDescent="0.25">
      <c r="B763" s="11"/>
    </row>
    <row r="764" spans="2:2" x14ac:dyDescent="0.25">
      <c r="B764" s="11"/>
    </row>
    <row r="765" spans="2:2" x14ac:dyDescent="0.25">
      <c r="B765" s="11"/>
    </row>
    <row r="766" spans="2:2" x14ac:dyDescent="0.25">
      <c r="B766" s="11"/>
    </row>
    <row r="767" spans="2:2" x14ac:dyDescent="0.25">
      <c r="B767" s="11"/>
    </row>
    <row r="768" spans="2:2" x14ac:dyDescent="0.25">
      <c r="B768" s="11"/>
    </row>
    <row r="769" spans="2:2" x14ac:dyDescent="0.25">
      <c r="B769" s="11"/>
    </row>
    <row r="770" spans="2:2" x14ac:dyDescent="0.25">
      <c r="B770" s="11"/>
    </row>
    <row r="771" spans="2:2" x14ac:dyDescent="0.25">
      <c r="B771" s="11"/>
    </row>
    <row r="772" spans="2:2" x14ac:dyDescent="0.25">
      <c r="B772" s="11"/>
    </row>
    <row r="773" spans="2:2" x14ac:dyDescent="0.25">
      <c r="B773" s="11"/>
    </row>
    <row r="774" spans="2:2" x14ac:dyDescent="0.25">
      <c r="B774" s="11"/>
    </row>
    <row r="775" spans="2:2" x14ac:dyDescent="0.25">
      <c r="B775" s="11"/>
    </row>
    <row r="776" spans="2:2" x14ac:dyDescent="0.25">
      <c r="B776" s="11"/>
    </row>
    <row r="777" spans="2:2" x14ac:dyDescent="0.25">
      <c r="B777" s="11"/>
    </row>
    <row r="778" spans="2:2" x14ac:dyDescent="0.25">
      <c r="B778" s="11"/>
    </row>
    <row r="779" spans="2:2" x14ac:dyDescent="0.25">
      <c r="B779" s="11"/>
    </row>
    <row r="780" spans="2:2" x14ac:dyDescent="0.25">
      <c r="B780" s="11"/>
    </row>
    <row r="781" spans="2:2" x14ac:dyDescent="0.25">
      <c r="B781" s="11"/>
    </row>
    <row r="782" spans="2:2" x14ac:dyDescent="0.25">
      <c r="B782" s="11"/>
    </row>
    <row r="783" spans="2:2" x14ac:dyDescent="0.25">
      <c r="B783" s="11"/>
    </row>
    <row r="784" spans="2:2" x14ac:dyDescent="0.25">
      <c r="B784" s="11"/>
    </row>
    <row r="785" spans="2:2" x14ac:dyDescent="0.25">
      <c r="B785" s="11"/>
    </row>
    <row r="786" spans="2:2" x14ac:dyDescent="0.25">
      <c r="B786" s="11"/>
    </row>
    <row r="787" spans="2:2" x14ac:dyDescent="0.25">
      <c r="B787" s="11"/>
    </row>
    <row r="788" spans="2:2" x14ac:dyDescent="0.25">
      <c r="B788" s="11"/>
    </row>
    <row r="789" spans="2:2" x14ac:dyDescent="0.25">
      <c r="B789" s="11"/>
    </row>
    <row r="790" spans="2:2" x14ac:dyDescent="0.25">
      <c r="B790" s="11"/>
    </row>
    <row r="791" spans="2:2" x14ac:dyDescent="0.25">
      <c r="B791" s="11"/>
    </row>
    <row r="792" spans="2:2" x14ac:dyDescent="0.25">
      <c r="B792" s="11"/>
    </row>
    <row r="793" spans="2:2" x14ac:dyDescent="0.25">
      <c r="B793" s="11"/>
    </row>
    <row r="794" spans="2:2" x14ac:dyDescent="0.25">
      <c r="B794" s="11"/>
    </row>
    <row r="795" spans="2:2" x14ac:dyDescent="0.25">
      <c r="B795" s="11"/>
    </row>
    <row r="796" spans="2:2" x14ac:dyDescent="0.25">
      <c r="B796" s="11"/>
    </row>
    <row r="797" spans="2:2" x14ac:dyDescent="0.25">
      <c r="B797" s="11"/>
    </row>
    <row r="798" spans="2:2" x14ac:dyDescent="0.25">
      <c r="B798" s="11"/>
    </row>
    <row r="799" spans="2:2" x14ac:dyDescent="0.25">
      <c r="B799" s="11"/>
    </row>
    <row r="800" spans="2:2" x14ac:dyDescent="0.25">
      <c r="B800" s="11"/>
    </row>
    <row r="801" spans="2:2" x14ac:dyDescent="0.25">
      <c r="B801" s="11"/>
    </row>
    <row r="802" spans="2:2" x14ac:dyDescent="0.25">
      <c r="B802" s="11"/>
    </row>
    <row r="803" spans="2:2" x14ac:dyDescent="0.25">
      <c r="B803" s="11"/>
    </row>
    <row r="804" spans="2:2" x14ac:dyDescent="0.25">
      <c r="B804" s="11"/>
    </row>
    <row r="805" spans="2:2" x14ac:dyDescent="0.25">
      <c r="B805" s="11"/>
    </row>
    <row r="806" spans="2:2" x14ac:dyDescent="0.25">
      <c r="B806" s="11"/>
    </row>
    <row r="807" spans="2:2" x14ac:dyDescent="0.25">
      <c r="B807" s="11"/>
    </row>
    <row r="808" spans="2:2" x14ac:dyDescent="0.25">
      <c r="B808" s="11"/>
    </row>
    <row r="809" spans="2:2" x14ac:dyDescent="0.25">
      <c r="B809" s="11"/>
    </row>
    <row r="810" spans="2:2" x14ac:dyDescent="0.25">
      <c r="B810" s="11"/>
    </row>
    <row r="811" spans="2:2" x14ac:dyDescent="0.25">
      <c r="B811" s="11"/>
    </row>
    <row r="812" spans="2:2" x14ac:dyDescent="0.25">
      <c r="B812" s="11"/>
    </row>
    <row r="813" spans="2:2" x14ac:dyDescent="0.25">
      <c r="B813" s="11"/>
    </row>
    <row r="814" spans="2:2" x14ac:dyDescent="0.25">
      <c r="B814" s="11"/>
    </row>
    <row r="815" spans="2:2" x14ac:dyDescent="0.25">
      <c r="B815" s="11"/>
    </row>
    <row r="816" spans="2:2" x14ac:dyDescent="0.25">
      <c r="B816" s="11"/>
    </row>
    <row r="817" spans="2:2" x14ac:dyDescent="0.25">
      <c r="B817" s="11"/>
    </row>
    <row r="818" spans="2:2" x14ac:dyDescent="0.25">
      <c r="B818" s="11"/>
    </row>
    <row r="819" spans="2:2" x14ac:dyDescent="0.25">
      <c r="B819" s="11"/>
    </row>
    <row r="820" spans="2:2" x14ac:dyDescent="0.25">
      <c r="B820" s="11"/>
    </row>
    <row r="821" spans="2:2" x14ac:dyDescent="0.25">
      <c r="B821" s="11"/>
    </row>
    <row r="822" spans="2:2" x14ac:dyDescent="0.25">
      <c r="B822" s="11"/>
    </row>
    <row r="823" spans="2:2" x14ac:dyDescent="0.25">
      <c r="B823" s="11"/>
    </row>
    <row r="824" spans="2:2" x14ac:dyDescent="0.25">
      <c r="B824" s="11"/>
    </row>
    <row r="825" spans="2:2" x14ac:dyDescent="0.25">
      <c r="B825" s="11"/>
    </row>
    <row r="826" spans="2:2" x14ac:dyDescent="0.25">
      <c r="B826" s="11"/>
    </row>
    <row r="827" spans="2:2" x14ac:dyDescent="0.25">
      <c r="B827" s="11"/>
    </row>
    <row r="828" spans="2:2" x14ac:dyDescent="0.25">
      <c r="B828" s="11"/>
    </row>
    <row r="829" spans="2:2" x14ac:dyDescent="0.25">
      <c r="B829" s="11"/>
    </row>
    <row r="830" spans="2:2" x14ac:dyDescent="0.25">
      <c r="B830" s="11"/>
    </row>
    <row r="831" spans="2:2" x14ac:dyDescent="0.25">
      <c r="B831" s="11"/>
    </row>
    <row r="832" spans="2:2" x14ac:dyDescent="0.25">
      <c r="B832" s="11"/>
    </row>
    <row r="833" spans="2:2" x14ac:dyDescent="0.25">
      <c r="B833" s="11"/>
    </row>
    <row r="834" spans="2:2" x14ac:dyDescent="0.25">
      <c r="B834" s="11"/>
    </row>
    <row r="835" spans="2:2" x14ac:dyDescent="0.25">
      <c r="B835" s="11"/>
    </row>
    <row r="836" spans="2:2" x14ac:dyDescent="0.25">
      <c r="B836" s="11"/>
    </row>
    <row r="837" spans="2:2" x14ac:dyDescent="0.25">
      <c r="B837" s="11"/>
    </row>
    <row r="838" spans="2:2" x14ac:dyDescent="0.25">
      <c r="B838" s="11"/>
    </row>
    <row r="839" spans="2:2" x14ac:dyDescent="0.25">
      <c r="B839" s="11"/>
    </row>
    <row r="840" spans="2:2" x14ac:dyDescent="0.25">
      <c r="B840" s="11"/>
    </row>
    <row r="841" spans="2:2" x14ac:dyDescent="0.25">
      <c r="B841" s="11"/>
    </row>
    <row r="842" spans="2:2" x14ac:dyDescent="0.25">
      <c r="B842" s="11"/>
    </row>
    <row r="843" spans="2:2" x14ac:dyDescent="0.25">
      <c r="B843" s="11"/>
    </row>
    <row r="844" spans="2:2" x14ac:dyDescent="0.25">
      <c r="B844" s="11"/>
    </row>
    <row r="845" spans="2:2" x14ac:dyDescent="0.25">
      <c r="B845" s="11"/>
    </row>
    <row r="846" spans="2:2" x14ac:dyDescent="0.25">
      <c r="B846" s="11"/>
    </row>
    <row r="847" spans="2:2" x14ac:dyDescent="0.25">
      <c r="B847" s="11"/>
    </row>
    <row r="848" spans="2:2" x14ac:dyDescent="0.25">
      <c r="B848" s="11"/>
    </row>
    <row r="849" spans="2:2" x14ac:dyDescent="0.25">
      <c r="B849" s="11"/>
    </row>
    <row r="850" spans="2:2" x14ac:dyDescent="0.25">
      <c r="B850" s="11"/>
    </row>
    <row r="851" spans="2:2" x14ac:dyDescent="0.25">
      <c r="B851" s="11"/>
    </row>
    <row r="852" spans="2:2" x14ac:dyDescent="0.25">
      <c r="B852" s="11"/>
    </row>
    <row r="853" spans="2:2" x14ac:dyDescent="0.25">
      <c r="B853" s="11"/>
    </row>
    <row r="854" spans="2:2" x14ac:dyDescent="0.25">
      <c r="B854" s="11"/>
    </row>
    <row r="855" spans="2:2" x14ac:dyDescent="0.25">
      <c r="B855" s="11"/>
    </row>
    <row r="856" spans="2:2" x14ac:dyDescent="0.25">
      <c r="B856" s="11"/>
    </row>
    <row r="857" spans="2:2" x14ac:dyDescent="0.25">
      <c r="B857" s="11"/>
    </row>
    <row r="858" spans="2:2" x14ac:dyDescent="0.25">
      <c r="B858" s="11"/>
    </row>
    <row r="859" spans="2:2" x14ac:dyDescent="0.25">
      <c r="B859" s="11"/>
    </row>
    <row r="860" spans="2:2" x14ac:dyDescent="0.25">
      <c r="B860" s="11"/>
    </row>
    <row r="861" spans="2:2" x14ac:dyDescent="0.25">
      <c r="B861" s="11"/>
    </row>
    <row r="862" spans="2:2" x14ac:dyDescent="0.25">
      <c r="B862" s="11"/>
    </row>
    <row r="863" spans="2:2" x14ac:dyDescent="0.25">
      <c r="B863" s="11"/>
    </row>
    <row r="864" spans="2:2" x14ac:dyDescent="0.25">
      <c r="B864" s="11"/>
    </row>
    <row r="865" spans="2:2" x14ac:dyDescent="0.25">
      <c r="B865" s="11"/>
    </row>
    <row r="866" spans="2:2" x14ac:dyDescent="0.25">
      <c r="B866" s="11"/>
    </row>
    <row r="867" spans="2:2" x14ac:dyDescent="0.25">
      <c r="B867" s="11"/>
    </row>
    <row r="868" spans="2:2" x14ac:dyDescent="0.25">
      <c r="B868" s="11"/>
    </row>
    <row r="869" spans="2:2" x14ac:dyDescent="0.25">
      <c r="B869" s="11"/>
    </row>
    <row r="870" spans="2:2" x14ac:dyDescent="0.25">
      <c r="B870" s="11"/>
    </row>
    <row r="871" spans="2:2" x14ac:dyDescent="0.25">
      <c r="B871" s="11"/>
    </row>
    <row r="872" spans="2:2" x14ac:dyDescent="0.25">
      <c r="B872" s="11"/>
    </row>
    <row r="873" spans="2:2" x14ac:dyDescent="0.25">
      <c r="B873" s="11"/>
    </row>
    <row r="874" spans="2:2" x14ac:dyDescent="0.25">
      <c r="B874" s="11"/>
    </row>
    <row r="875" spans="2:2" x14ac:dyDescent="0.25">
      <c r="B875" s="11"/>
    </row>
    <row r="876" spans="2:2" x14ac:dyDescent="0.25">
      <c r="B876" s="11"/>
    </row>
    <row r="877" spans="2:2" x14ac:dyDescent="0.25">
      <c r="B877" s="11"/>
    </row>
    <row r="878" spans="2:2" x14ac:dyDescent="0.25">
      <c r="B878" s="11"/>
    </row>
    <row r="879" spans="2:2" x14ac:dyDescent="0.25">
      <c r="B879" s="11"/>
    </row>
    <row r="880" spans="2:2" x14ac:dyDescent="0.25">
      <c r="B880" s="11"/>
    </row>
    <row r="881" spans="2:2" x14ac:dyDescent="0.25">
      <c r="B881" s="11"/>
    </row>
    <row r="882" spans="2:2" x14ac:dyDescent="0.25">
      <c r="B882" s="11"/>
    </row>
    <row r="883" spans="2:2" x14ac:dyDescent="0.25">
      <c r="B883" s="11"/>
    </row>
    <row r="884" spans="2:2" x14ac:dyDescent="0.25">
      <c r="B884" s="11"/>
    </row>
    <row r="885" spans="2:2" x14ac:dyDescent="0.25">
      <c r="B885" s="11"/>
    </row>
    <row r="886" spans="2:2" x14ac:dyDescent="0.25">
      <c r="B886" s="11"/>
    </row>
    <row r="887" spans="2:2" x14ac:dyDescent="0.25">
      <c r="B887" s="11"/>
    </row>
    <row r="888" spans="2:2" x14ac:dyDescent="0.25">
      <c r="B888" s="11"/>
    </row>
    <row r="889" spans="2:2" x14ac:dyDescent="0.25">
      <c r="B889" s="11"/>
    </row>
    <row r="890" spans="2:2" x14ac:dyDescent="0.25">
      <c r="B890" s="11"/>
    </row>
    <row r="891" spans="2:2" x14ac:dyDescent="0.25">
      <c r="B891" s="11"/>
    </row>
    <row r="892" spans="2:2" x14ac:dyDescent="0.25">
      <c r="B892" s="11"/>
    </row>
    <row r="893" spans="2:2" x14ac:dyDescent="0.25">
      <c r="B893" s="11"/>
    </row>
    <row r="894" spans="2:2" x14ac:dyDescent="0.25">
      <c r="B894" s="11"/>
    </row>
    <row r="895" spans="2:2" x14ac:dyDescent="0.25">
      <c r="B895" s="11"/>
    </row>
    <row r="896" spans="2:2" x14ac:dyDescent="0.25">
      <c r="B896" s="11"/>
    </row>
    <row r="897" spans="2:2" x14ac:dyDescent="0.25">
      <c r="B897" s="11"/>
    </row>
    <row r="898" spans="2:2" x14ac:dyDescent="0.25">
      <c r="B898" s="11"/>
    </row>
    <row r="899" spans="2:2" x14ac:dyDescent="0.25">
      <c r="B899" s="11"/>
    </row>
    <row r="900" spans="2:2" x14ac:dyDescent="0.25">
      <c r="B900" s="11"/>
    </row>
    <row r="901" spans="2:2" x14ac:dyDescent="0.25">
      <c r="B901" s="11"/>
    </row>
    <row r="902" spans="2:2" x14ac:dyDescent="0.25">
      <c r="B902" s="11"/>
    </row>
    <row r="903" spans="2:2" x14ac:dyDescent="0.25">
      <c r="B903" s="11"/>
    </row>
    <row r="904" spans="2:2" x14ac:dyDescent="0.25">
      <c r="B904" s="11"/>
    </row>
    <row r="905" spans="2:2" x14ac:dyDescent="0.25">
      <c r="B905" s="11"/>
    </row>
    <row r="906" spans="2:2" x14ac:dyDescent="0.25">
      <c r="B906" s="11"/>
    </row>
    <row r="907" spans="2:2" x14ac:dyDescent="0.25">
      <c r="B907" s="11"/>
    </row>
    <row r="908" spans="2:2" x14ac:dyDescent="0.25">
      <c r="B908" s="11"/>
    </row>
    <row r="909" spans="2:2" x14ac:dyDescent="0.25">
      <c r="B909" s="11"/>
    </row>
    <row r="910" spans="2:2" x14ac:dyDescent="0.25">
      <c r="B910" s="11"/>
    </row>
    <row r="911" spans="2:2" x14ac:dyDescent="0.25">
      <c r="B911" s="11"/>
    </row>
    <row r="912" spans="2:2" x14ac:dyDescent="0.25">
      <c r="B912" s="11"/>
    </row>
    <row r="913" spans="2:2" x14ac:dyDescent="0.25">
      <c r="B913" s="11"/>
    </row>
    <row r="914" spans="2:2" x14ac:dyDescent="0.25">
      <c r="B914" s="11"/>
    </row>
    <row r="915" spans="2:2" x14ac:dyDescent="0.25">
      <c r="B915" s="11"/>
    </row>
    <row r="916" spans="2:2" x14ac:dyDescent="0.25">
      <c r="B916" s="11"/>
    </row>
    <row r="917" spans="2:2" x14ac:dyDescent="0.25">
      <c r="B917" s="11"/>
    </row>
    <row r="918" spans="2:2" x14ac:dyDescent="0.25">
      <c r="B918" s="11"/>
    </row>
    <row r="919" spans="2:2" x14ac:dyDescent="0.25">
      <c r="B919" s="11"/>
    </row>
    <row r="920" spans="2:2" x14ac:dyDescent="0.25">
      <c r="B920" s="11"/>
    </row>
    <row r="921" spans="2:2" x14ac:dyDescent="0.25">
      <c r="B921" s="11"/>
    </row>
    <row r="922" spans="2:2" x14ac:dyDescent="0.25">
      <c r="B922" s="11"/>
    </row>
    <row r="923" spans="2:2" x14ac:dyDescent="0.25">
      <c r="B923" s="11"/>
    </row>
    <row r="924" spans="2:2" x14ac:dyDescent="0.25">
      <c r="B924" s="11"/>
    </row>
    <row r="925" spans="2:2" x14ac:dyDescent="0.25">
      <c r="B925" s="11"/>
    </row>
    <row r="926" spans="2:2" x14ac:dyDescent="0.25">
      <c r="B926" s="11"/>
    </row>
    <row r="927" spans="2:2" x14ac:dyDescent="0.25">
      <c r="B927" s="11"/>
    </row>
    <row r="928" spans="2:2" x14ac:dyDescent="0.25">
      <c r="B928" s="11"/>
    </row>
    <row r="929" spans="2:2" x14ac:dyDescent="0.25">
      <c r="B929" s="11"/>
    </row>
    <row r="930" spans="2:2" x14ac:dyDescent="0.25">
      <c r="B930" s="11"/>
    </row>
    <row r="931" spans="2:2" x14ac:dyDescent="0.25">
      <c r="B931" s="11"/>
    </row>
    <row r="932" spans="2:2" x14ac:dyDescent="0.25">
      <c r="B932" s="11"/>
    </row>
    <row r="933" spans="2:2" x14ac:dyDescent="0.25">
      <c r="B933" s="11"/>
    </row>
    <row r="934" spans="2:2" x14ac:dyDescent="0.25">
      <c r="B934" s="11"/>
    </row>
    <row r="935" spans="2:2" x14ac:dyDescent="0.25">
      <c r="B935" s="11"/>
    </row>
    <row r="936" spans="2:2" x14ac:dyDescent="0.25">
      <c r="B936" s="11"/>
    </row>
    <row r="937" spans="2:2" x14ac:dyDescent="0.25">
      <c r="B937" s="11"/>
    </row>
    <row r="938" spans="2:2" x14ac:dyDescent="0.25">
      <c r="B938" s="11"/>
    </row>
    <row r="939" spans="2:2" x14ac:dyDescent="0.25">
      <c r="B939" s="11"/>
    </row>
    <row r="940" spans="2:2" x14ac:dyDescent="0.25">
      <c r="B940" s="11"/>
    </row>
    <row r="941" spans="2:2" x14ac:dyDescent="0.25">
      <c r="B941" s="11"/>
    </row>
    <row r="942" spans="2:2" x14ac:dyDescent="0.25">
      <c r="B942" s="11"/>
    </row>
    <row r="943" spans="2:2" x14ac:dyDescent="0.25">
      <c r="B943" s="11"/>
    </row>
    <row r="944" spans="2:2" x14ac:dyDescent="0.25">
      <c r="B944" s="11"/>
    </row>
    <row r="945" spans="2:2" x14ac:dyDescent="0.25">
      <c r="B945" s="11"/>
    </row>
    <row r="946" spans="2:2" x14ac:dyDescent="0.25">
      <c r="B946" s="11"/>
    </row>
    <row r="947" spans="2:2" x14ac:dyDescent="0.25">
      <c r="B947" s="11"/>
    </row>
    <row r="948" spans="2:2" x14ac:dyDescent="0.25">
      <c r="B948" s="11"/>
    </row>
    <row r="949" spans="2:2" x14ac:dyDescent="0.25">
      <c r="B949" s="11"/>
    </row>
    <row r="950" spans="2:2" x14ac:dyDescent="0.25">
      <c r="B950" s="11"/>
    </row>
    <row r="951" spans="2:2" x14ac:dyDescent="0.25">
      <c r="B951" s="11"/>
    </row>
    <row r="952" spans="2:2" x14ac:dyDescent="0.25">
      <c r="B952" s="11"/>
    </row>
    <row r="953" spans="2:2" x14ac:dyDescent="0.25">
      <c r="B953" s="11"/>
    </row>
    <row r="954" spans="2:2" x14ac:dyDescent="0.25">
      <c r="B954" s="11"/>
    </row>
    <row r="955" spans="2:2" x14ac:dyDescent="0.25">
      <c r="B955" s="11"/>
    </row>
    <row r="956" spans="2:2" x14ac:dyDescent="0.25">
      <c r="B956" s="11"/>
    </row>
    <row r="957" spans="2:2" x14ac:dyDescent="0.25">
      <c r="B957" s="11"/>
    </row>
    <row r="958" spans="2:2" x14ac:dyDescent="0.25">
      <c r="B958" s="11"/>
    </row>
    <row r="959" spans="2:2" x14ac:dyDescent="0.25">
      <c r="B959" s="11"/>
    </row>
    <row r="960" spans="2:2" x14ac:dyDescent="0.25">
      <c r="B960" s="11"/>
    </row>
    <row r="961" spans="2:2" x14ac:dyDescent="0.25">
      <c r="B961" s="11"/>
    </row>
    <row r="962" spans="2:2" x14ac:dyDescent="0.25">
      <c r="B962" s="11"/>
    </row>
    <row r="963" spans="2:2" x14ac:dyDescent="0.25">
      <c r="B963" s="11"/>
    </row>
    <row r="964" spans="2:2" x14ac:dyDescent="0.25">
      <c r="B964" s="11"/>
    </row>
    <row r="965" spans="2:2" x14ac:dyDescent="0.25">
      <c r="B965" s="11"/>
    </row>
    <row r="966" spans="2:2" x14ac:dyDescent="0.25">
      <c r="B966" s="11"/>
    </row>
    <row r="967" spans="2:2" x14ac:dyDescent="0.25">
      <c r="B967" s="11"/>
    </row>
    <row r="968" spans="2:2" x14ac:dyDescent="0.25">
      <c r="B968" s="11"/>
    </row>
    <row r="969" spans="2:2" x14ac:dyDescent="0.25">
      <c r="B969" s="11"/>
    </row>
    <row r="970" spans="2:2" x14ac:dyDescent="0.25">
      <c r="B970" s="11"/>
    </row>
    <row r="971" spans="2:2" x14ac:dyDescent="0.25">
      <c r="B971" s="11"/>
    </row>
    <row r="972" spans="2:2" x14ac:dyDescent="0.25">
      <c r="B972" s="11"/>
    </row>
    <row r="973" spans="2:2" x14ac:dyDescent="0.25">
      <c r="B973" s="11"/>
    </row>
    <row r="974" spans="2:2" x14ac:dyDescent="0.25">
      <c r="B974" s="11"/>
    </row>
    <row r="975" spans="2:2" x14ac:dyDescent="0.25">
      <c r="B975" s="11"/>
    </row>
    <row r="976" spans="2:2" x14ac:dyDescent="0.25">
      <c r="B976" s="11"/>
    </row>
    <row r="977" spans="2:2" x14ac:dyDescent="0.25">
      <c r="B977" s="11"/>
    </row>
    <row r="978" spans="2:2" x14ac:dyDescent="0.25">
      <c r="B978" s="11"/>
    </row>
    <row r="979" spans="2:2" x14ac:dyDescent="0.25">
      <c r="B979" s="11"/>
    </row>
    <row r="980" spans="2:2" x14ac:dyDescent="0.25">
      <c r="B980" s="11"/>
    </row>
    <row r="981" spans="2:2" x14ac:dyDescent="0.25">
      <c r="B981" s="11"/>
    </row>
    <row r="982" spans="2:2" x14ac:dyDescent="0.25">
      <c r="B982" s="11"/>
    </row>
    <row r="983" spans="2:2" x14ac:dyDescent="0.25">
      <c r="B983" s="11"/>
    </row>
    <row r="984" spans="2:2" x14ac:dyDescent="0.25">
      <c r="B984" s="11"/>
    </row>
    <row r="985" spans="2:2" x14ac:dyDescent="0.25">
      <c r="B985" s="11"/>
    </row>
    <row r="986" spans="2:2" x14ac:dyDescent="0.25">
      <c r="B986" s="11"/>
    </row>
    <row r="987" spans="2:2" x14ac:dyDescent="0.25">
      <c r="B987" s="11"/>
    </row>
    <row r="988" spans="2:2" x14ac:dyDescent="0.25">
      <c r="B988" s="11"/>
    </row>
    <row r="989" spans="2:2" x14ac:dyDescent="0.25">
      <c r="B989" s="11"/>
    </row>
    <row r="990" spans="2:2" x14ac:dyDescent="0.25">
      <c r="B990" s="11"/>
    </row>
    <row r="991" spans="2:2" x14ac:dyDescent="0.25">
      <c r="B991" s="11"/>
    </row>
    <row r="992" spans="2:2" x14ac:dyDescent="0.25">
      <c r="B992" s="11"/>
    </row>
    <row r="993" spans="2:2" x14ac:dyDescent="0.25">
      <c r="B993" s="11"/>
    </row>
    <row r="994" spans="2:2" x14ac:dyDescent="0.25">
      <c r="B994" s="11"/>
    </row>
    <row r="995" spans="2:2" x14ac:dyDescent="0.25">
      <c r="B995" s="11"/>
    </row>
    <row r="996" spans="2:2" x14ac:dyDescent="0.25">
      <c r="B996" s="11"/>
    </row>
    <row r="997" spans="2:2" x14ac:dyDescent="0.25">
      <c r="B997" s="11"/>
    </row>
    <row r="998" spans="2:2" x14ac:dyDescent="0.25">
      <c r="B998" s="11"/>
    </row>
    <row r="999" spans="2:2" x14ac:dyDescent="0.25">
      <c r="B999" s="11"/>
    </row>
    <row r="1000" spans="2:2" x14ac:dyDescent="0.25">
      <c r="B1000" s="11"/>
    </row>
    <row r="1001" spans="2:2" x14ac:dyDescent="0.25">
      <c r="B1001" s="11"/>
    </row>
    <row r="1002" spans="2:2" x14ac:dyDescent="0.25">
      <c r="B1002" s="11"/>
    </row>
    <row r="1003" spans="2:2" x14ac:dyDescent="0.25">
      <c r="B1003" s="11"/>
    </row>
    <row r="1004" spans="2:2" x14ac:dyDescent="0.25">
      <c r="B1004" s="11"/>
    </row>
    <row r="1005" spans="2:2" x14ac:dyDescent="0.25">
      <c r="B1005" s="11"/>
    </row>
    <row r="1006" spans="2:2" x14ac:dyDescent="0.25">
      <c r="B1006" s="11"/>
    </row>
    <row r="1007" spans="2:2" x14ac:dyDescent="0.25">
      <c r="B1007" s="11"/>
    </row>
    <row r="1008" spans="2:2" x14ac:dyDescent="0.25">
      <c r="B1008" s="11"/>
    </row>
    <row r="1009" spans="2:2" x14ac:dyDescent="0.25">
      <c r="B1009" s="11"/>
    </row>
    <row r="1010" spans="2:2" x14ac:dyDescent="0.25">
      <c r="B1010" s="11"/>
    </row>
    <row r="1011" spans="2:2" x14ac:dyDescent="0.25">
      <c r="B1011" s="11"/>
    </row>
    <row r="1012" spans="2:2" x14ac:dyDescent="0.25">
      <c r="B1012" s="11"/>
    </row>
    <row r="1013" spans="2:2" x14ac:dyDescent="0.25">
      <c r="B1013" s="11"/>
    </row>
    <row r="1014" spans="2:2" x14ac:dyDescent="0.25">
      <c r="B1014" s="11"/>
    </row>
    <row r="1015" spans="2:2" x14ac:dyDescent="0.25">
      <c r="B1015" s="11"/>
    </row>
    <row r="1016" spans="2:2" x14ac:dyDescent="0.25">
      <c r="B1016" s="11"/>
    </row>
    <row r="1017" spans="2:2" x14ac:dyDescent="0.25">
      <c r="B1017" s="11"/>
    </row>
    <row r="1018" spans="2:2" x14ac:dyDescent="0.25">
      <c r="B1018" s="11"/>
    </row>
    <row r="1019" spans="2:2" x14ac:dyDescent="0.25">
      <c r="B1019" s="11"/>
    </row>
    <row r="1020" spans="2:2" x14ac:dyDescent="0.25">
      <c r="B1020" s="11"/>
    </row>
    <row r="1021" spans="2:2" x14ac:dyDescent="0.25">
      <c r="B1021" s="11"/>
    </row>
    <row r="1022" spans="2:2" x14ac:dyDescent="0.25">
      <c r="B1022" s="11"/>
    </row>
    <row r="1023" spans="2:2" x14ac:dyDescent="0.25">
      <c r="B1023" s="11"/>
    </row>
    <row r="1024" spans="2:2" x14ac:dyDescent="0.25">
      <c r="B1024" s="11"/>
    </row>
    <row r="1025" spans="2:2" x14ac:dyDescent="0.25">
      <c r="B1025" s="11"/>
    </row>
    <row r="1026" spans="2:2" x14ac:dyDescent="0.25">
      <c r="B1026" s="11"/>
    </row>
    <row r="1027" spans="2:2" x14ac:dyDescent="0.25">
      <c r="B1027" s="11"/>
    </row>
    <row r="1028" spans="2:2" x14ac:dyDescent="0.25">
      <c r="B1028" s="11"/>
    </row>
    <row r="1029" spans="2:2" x14ac:dyDescent="0.25">
      <c r="B1029" s="11"/>
    </row>
    <row r="1030" spans="2:2" x14ac:dyDescent="0.25">
      <c r="B1030" s="11"/>
    </row>
    <row r="1031" spans="2:2" x14ac:dyDescent="0.25">
      <c r="B1031" s="11"/>
    </row>
    <row r="1032" spans="2:2" x14ac:dyDescent="0.25">
      <c r="B1032" s="11"/>
    </row>
    <row r="1033" spans="2:2" x14ac:dyDescent="0.25">
      <c r="B1033" s="11"/>
    </row>
    <row r="1034" spans="2:2" x14ac:dyDescent="0.25">
      <c r="B1034" s="11"/>
    </row>
    <row r="1035" spans="2:2" x14ac:dyDescent="0.25">
      <c r="B1035" s="11"/>
    </row>
    <row r="1036" spans="2:2" x14ac:dyDescent="0.25">
      <c r="B1036" s="11"/>
    </row>
    <row r="1037" spans="2:2" x14ac:dyDescent="0.25">
      <c r="B1037" s="11"/>
    </row>
    <row r="1038" spans="2:2" x14ac:dyDescent="0.25">
      <c r="B1038" s="11"/>
    </row>
    <row r="1039" spans="2:2" x14ac:dyDescent="0.25">
      <c r="B1039" s="11"/>
    </row>
    <row r="1040" spans="2:2" x14ac:dyDescent="0.25">
      <c r="B1040" s="11"/>
    </row>
    <row r="1041" spans="2:2" x14ac:dyDescent="0.25">
      <c r="B1041" s="11"/>
    </row>
    <row r="1042" spans="2:2" x14ac:dyDescent="0.25">
      <c r="B1042" s="11"/>
    </row>
    <row r="1043" spans="2:2" x14ac:dyDescent="0.25">
      <c r="B1043" s="11"/>
    </row>
    <row r="1044" spans="2:2" x14ac:dyDescent="0.25">
      <c r="B1044" s="11"/>
    </row>
    <row r="1045" spans="2:2" x14ac:dyDescent="0.25">
      <c r="B1045" s="11"/>
    </row>
    <row r="1046" spans="2:2" x14ac:dyDescent="0.25">
      <c r="B1046" s="11"/>
    </row>
    <row r="1047" spans="2:2" x14ac:dyDescent="0.25">
      <c r="B1047" s="11"/>
    </row>
    <row r="1048" spans="2:2" x14ac:dyDescent="0.25">
      <c r="B1048" s="11"/>
    </row>
    <row r="1049" spans="2:2" x14ac:dyDescent="0.25">
      <c r="B1049" s="11"/>
    </row>
    <row r="1050" spans="2:2" x14ac:dyDescent="0.25">
      <c r="B1050" s="11"/>
    </row>
    <row r="1051" spans="2:2" x14ac:dyDescent="0.25">
      <c r="B1051" s="11"/>
    </row>
    <row r="1052" spans="2:2" x14ac:dyDescent="0.25">
      <c r="B1052" s="11"/>
    </row>
    <row r="1053" spans="2:2" x14ac:dyDescent="0.25">
      <c r="B1053" s="11"/>
    </row>
    <row r="1054" spans="2:2" x14ac:dyDescent="0.25">
      <c r="B1054" s="11"/>
    </row>
    <row r="1055" spans="2:2" x14ac:dyDescent="0.25">
      <c r="B1055" s="11"/>
    </row>
    <row r="1056" spans="2:2" x14ac:dyDescent="0.25">
      <c r="B1056" s="11"/>
    </row>
    <row r="1057" spans="2:2" x14ac:dyDescent="0.25">
      <c r="B1057" s="11"/>
    </row>
    <row r="1058" spans="2:2" x14ac:dyDescent="0.25">
      <c r="B1058" s="11"/>
    </row>
    <row r="1059" spans="2:2" x14ac:dyDescent="0.25">
      <c r="B1059" s="11"/>
    </row>
    <row r="1060" spans="2:2" x14ac:dyDescent="0.25">
      <c r="B1060" s="11"/>
    </row>
    <row r="1061" spans="2:2" x14ac:dyDescent="0.25">
      <c r="B1061" s="11"/>
    </row>
    <row r="1062" spans="2:2" x14ac:dyDescent="0.25">
      <c r="B1062" s="11"/>
    </row>
    <row r="1063" spans="2:2" x14ac:dyDescent="0.25">
      <c r="B1063" s="11"/>
    </row>
    <row r="1064" spans="2:2" x14ac:dyDescent="0.25">
      <c r="B1064" s="11"/>
    </row>
    <row r="1065" spans="2:2" x14ac:dyDescent="0.25">
      <c r="B1065" s="11"/>
    </row>
    <row r="1066" spans="2:2" x14ac:dyDescent="0.25">
      <c r="B1066" s="11"/>
    </row>
    <row r="1067" spans="2:2" x14ac:dyDescent="0.25">
      <c r="B1067" s="11"/>
    </row>
    <row r="1068" spans="2:2" x14ac:dyDescent="0.25">
      <c r="B1068" s="11"/>
    </row>
    <row r="1069" spans="2:2" x14ac:dyDescent="0.25">
      <c r="B1069" s="11"/>
    </row>
    <row r="1070" spans="2:2" x14ac:dyDescent="0.25">
      <c r="B1070" s="11"/>
    </row>
    <row r="1071" spans="2:2" x14ac:dyDescent="0.25">
      <c r="B1071" s="11"/>
    </row>
    <row r="1072" spans="2:2" x14ac:dyDescent="0.25">
      <c r="B1072" s="11"/>
    </row>
    <row r="1073" spans="2:2" x14ac:dyDescent="0.25">
      <c r="B1073" s="11"/>
    </row>
    <row r="1074" spans="2:2" x14ac:dyDescent="0.25">
      <c r="B1074" s="11"/>
    </row>
    <row r="1075" spans="2:2" x14ac:dyDescent="0.25">
      <c r="B1075" s="11"/>
    </row>
    <row r="1076" spans="2:2" x14ac:dyDescent="0.25">
      <c r="B1076" s="11"/>
    </row>
    <row r="1077" spans="2:2" x14ac:dyDescent="0.25">
      <c r="B1077" s="11"/>
    </row>
    <row r="1078" spans="2:2" x14ac:dyDescent="0.25">
      <c r="B1078" s="11"/>
    </row>
    <row r="1079" spans="2:2" x14ac:dyDescent="0.25">
      <c r="B1079" s="11"/>
    </row>
    <row r="1080" spans="2:2" x14ac:dyDescent="0.25">
      <c r="B1080" s="11"/>
    </row>
    <row r="1081" spans="2:2" x14ac:dyDescent="0.25">
      <c r="B1081" s="11"/>
    </row>
    <row r="1082" spans="2:2" x14ac:dyDescent="0.25">
      <c r="B1082" s="11"/>
    </row>
    <row r="1083" spans="2:2" x14ac:dyDescent="0.25">
      <c r="B1083" s="11"/>
    </row>
    <row r="1084" spans="2:2" x14ac:dyDescent="0.25">
      <c r="B1084" s="11"/>
    </row>
    <row r="1085" spans="2:2" x14ac:dyDescent="0.25">
      <c r="B1085" s="11"/>
    </row>
    <row r="1086" spans="2:2" x14ac:dyDescent="0.25">
      <c r="B1086" s="11"/>
    </row>
    <row r="1087" spans="2:2" x14ac:dyDescent="0.25">
      <c r="B1087" s="11"/>
    </row>
    <row r="1088" spans="2:2" x14ac:dyDescent="0.25">
      <c r="B1088" s="11"/>
    </row>
    <row r="1089" spans="2:2" x14ac:dyDescent="0.25">
      <c r="B1089" s="11"/>
    </row>
    <row r="1090" spans="2:2" x14ac:dyDescent="0.25">
      <c r="B1090" s="11"/>
    </row>
    <row r="1091" spans="2:2" x14ac:dyDescent="0.25">
      <c r="B1091" s="11"/>
    </row>
    <row r="1092" spans="2:2" x14ac:dyDescent="0.25">
      <c r="B1092" s="11"/>
    </row>
    <row r="1093" spans="2:2" x14ac:dyDescent="0.25">
      <c r="B1093" s="11"/>
    </row>
    <row r="1094" spans="2:2" x14ac:dyDescent="0.25">
      <c r="B1094" s="11"/>
    </row>
    <row r="1095" spans="2:2" x14ac:dyDescent="0.25">
      <c r="B1095" s="11"/>
    </row>
    <row r="1096" spans="2:2" x14ac:dyDescent="0.25">
      <c r="B1096" s="11"/>
    </row>
    <row r="1097" spans="2:2" x14ac:dyDescent="0.25">
      <c r="B1097" s="11"/>
    </row>
    <row r="1098" spans="2:2" x14ac:dyDescent="0.25">
      <c r="B1098" s="11"/>
    </row>
    <row r="1099" spans="2:2" x14ac:dyDescent="0.25">
      <c r="B1099" s="11"/>
    </row>
    <row r="1100" spans="2:2" x14ac:dyDescent="0.25">
      <c r="B1100" s="11"/>
    </row>
    <row r="1101" spans="2:2" x14ac:dyDescent="0.25">
      <c r="B1101" s="11"/>
    </row>
    <row r="1102" spans="2:2" x14ac:dyDescent="0.25">
      <c r="B1102" s="11"/>
    </row>
    <row r="1103" spans="2:2" x14ac:dyDescent="0.25">
      <c r="B1103" s="11"/>
    </row>
    <row r="1104" spans="2:2" x14ac:dyDescent="0.25">
      <c r="B1104" s="11"/>
    </row>
    <row r="1105" spans="2:2" x14ac:dyDescent="0.25">
      <c r="B1105" s="11"/>
    </row>
    <row r="1106" spans="2:2" x14ac:dyDescent="0.25">
      <c r="B1106" s="11"/>
    </row>
    <row r="1107" spans="2:2" x14ac:dyDescent="0.25">
      <c r="B1107" s="11"/>
    </row>
    <row r="1108" spans="2:2" x14ac:dyDescent="0.25">
      <c r="B1108" s="11"/>
    </row>
    <row r="1109" spans="2:2" x14ac:dyDescent="0.25">
      <c r="B1109" s="11"/>
    </row>
    <row r="1110" spans="2:2" x14ac:dyDescent="0.25">
      <c r="B1110" s="11"/>
    </row>
    <row r="1111" spans="2:2" x14ac:dyDescent="0.25">
      <c r="B1111" s="11"/>
    </row>
    <row r="1112" spans="2:2" x14ac:dyDescent="0.25">
      <c r="B1112" s="11"/>
    </row>
    <row r="1113" spans="2:2" x14ac:dyDescent="0.25">
      <c r="B1113" s="11"/>
    </row>
    <row r="1114" spans="2:2" x14ac:dyDescent="0.25">
      <c r="B1114" s="11"/>
    </row>
    <row r="1115" spans="2:2" x14ac:dyDescent="0.25">
      <c r="B1115" s="11"/>
    </row>
    <row r="1116" spans="2:2" x14ac:dyDescent="0.25">
      <c r="B1116" s="11"/>
    </row>
    <row r="1117" spans="2:2" x14ac:dyDescent="0.25">
      <c r="B1117" s="11"/>
    </row>
    <row r="1118" spans="2:2" x14ac:dyDescent="0.25">
      <c r="B1118" s="11"/>
    </row>
    <row r="1119" spans="2:2" x14ac:dyDescent="0.25">
      <c r="B1119" s="11"/>
    </row>
    <row r="1120" spans="2:2" x14ac:dyDescent="0.25">
      <c r="B1120" s="11"/>
    </row>
    <row r="1121" spans="2:2" x14ac:dyDescent="0.25">
      <c r="B1121" s="11"/>
    </row>
    <row r="1122" spans="2:2" x14ac:dyDescent="0.25">
      <c r="B1122" s="11"/>
    </row>
    <row r="1123" spans="2:2" x14ac:dyDescent="0.25">
      <c r="B1123" s="11"/>
    </row>
    <row r="1124" spans="2:2" x14ac:dyDescent="0.25">
      <c r="B1124" s="11"/>
    </row>
    <row r="1125" spans="2:2" x14ac:dyDescent="0.25">
      <c r="B1125" s="11"/>
    </row>
    <row r="1126" spans="2:2" x14ac:dyDescent="0.25">
      <c r="B1126" s="11"/>
    </row>
    <row r="1127" spans="2:2" x14ac:dyDescent="0.25">
      <c r="B1127" s="11"/>
    </row>
    <row r="1128" spans="2:2" x14ac:dyDescent="0.25">
      <c r="B1128" s="11"/>
    </row>
    <row r="1129" spans="2:2" x14ac:dyDescent="0.25">
      <c r="B1129" s="11"/>
    </row>
    <row r="1130" spans="2:2" x14ac:dyDescent="0.25">
      <c r="B1130" s="11"/>
    </row>
    <row r="1131" spans="2:2" x14ac:dyDescent="0.25">
      <c r="B1131" s="11"/>
    </row>
    <row r="1132" spans="2:2" x14ac:dyDescent="0.25">
      <c r="B1132" s="11"/>
    </row>
    <row r="1133" spans="2:2" x14ac:dyDescent="0.25">
      <c r="B1133" s="11"/>
    </row>
    <row r="1134" spans="2:2" x14ac:dyDescent="0.25">
      <c r="B1134" s="11"/>
    </row>
    <row r="1135" spans="2:2" x14ac:dyDescent="0.25">
      <c r="B1135" s="11"/>
    </row>
    <row r="1136" spans="2:2" x14ac:dyDescent="0.25">
      <c r="B1136" s="11"/>
    </row>
    <row r="1137" spans="2:2" x14ac:dyDescent="0.25">
      <c r="B1137" s="11"/>
    </row>
    <row r="1138" spans="2:2" x14ac:dyDescent="0.25">
      <c r="B1138" s="11"/>
    </row>
    <row r="1139" spans="2:2" x14ac:dyDescent="0.25">
      <c r="B1139" s="11"/>
    </row>
    <row r="1140" spans="2:2" x14ac:dyDescent="0.25">
      <c r="B1140" s="11"/>
    </row>
    <row r="1141" spans="2:2" x14ac:dyDescent="0.25">
      <c r="B1141" s="11"/>
    </row>
    <row r="1142" spans="2:2" x14ac:dyDescent="0.25">
      <c r="B1142" s="11"/>
    </row>
    <row r="1143" spans="2:2" x14ac:dyDescent="0.25">
      <c r="B1143" s="11"/>
    </row>
    <row r="1144" spans="2:2" x14ac:dyDescent="0.25">
      <c r="B1144" s="11"/>
    </row>
    <row r="1145" spans="2:2" x14ac:dyDescent="0.25">
      <c r="B1145" s="11"/>
    </row>
    <row r="1146" spans="2:2" x14ac:dyDescent="0.25">
      <c r="B1146" s="11"/>
    </row>
    <row r="1147" spans="2:2" x14ac:dyDescent="0.25">
      <c r="B1147" s="11"/>
    </row>
    <row r="1148" spans="2:2" x14ac:dyDescent="0.25">
      <c r="B1148" s="11"/>
    </row>
    <row r="1149" spans="2:2" x14ac:dyDescent="0.25">
      <c r="B1149" s="11"/>
    </row>
    <row r="1150" spans="2:2" x14ac:dyDescent="0.25">
      <c r="B1150" s="11"/>
    </row>
    <row r="1151" spans="2:2" x14ac:dyDescent="0.25">
      <c r="B1151" s="11"/>
    </row>
    <row r="1152" spans="2:2" x14ac:dyDescent="0.25">
      <c r="B1152" s="11"/>
    </row>
    <row r="1153" spans="2:2" x14ac:dyDescent="0.25">
      <c r="B1153" s="11"/>
    </row>
    <row r="1154" spans="2:2" x14ac:dyDescent="0.25">
      <c r="B1154" s="11"/>
    </row>
    <row r="1155" spans="2:2" x14ac:dyDescent="0.25">
      <c r="B1155" s="11"/>
    </row>
    <row r="1156" spans="2:2" x14ac:dyDescent="0.25">
      <c r="B1156" s="11"/>
    </row>
    <row r="1157" spans="2:2" x14ac:dyDescent="0.25">
      <c r="B1157" s="11"/>
    </row>
    <row r="1158" spans="2:2" x14ac:dyDescent="0.25">
      <c r="B1158" s="11"/>
    </row>
    <row r="1159" spans="2:2" x14ac:dyDescent="0.25">
      <c r="B1159" s="11"/>
    </row>
    <row r="1160" spans="2:2" x14ac:dyDescent="0.25">
      <c r="B1160" s="11"/>
    </row>
    <row r="1161" spans="2:2" x14ac:dyDescent="0.25">
      <c r="B1161" s="11"/>
    </row>
    <row r="1162" spans="2:2" x14ac:dyDescent="0.25">
      <c r="B1162" s="11"/>
    </row>
    <row r="1163" spans="2:2" x14ac:dyDescent="0.25">
      <c r="B1163" s="11"/>
    </row>
    <row r="1164" spans="2:2" x14ac:dyDescent="0.25">
      <c r="B1164" s="11"/>
    </row>
    <row r="1165" spans="2:2" x14ac:dyDescent="0.25">
      <c r="B1165" s="11"/>
    </row>
    <row r="1166" spans="2:2" x14ac:dyDescent="0.25">
      <c r="B1166" s="11"/>
    </row>
    <row r="1167" spans="2:2" x14ac:dyDescent="0.25">
      <c r="B1167" s="11"/>
    </row>
    <row r="1168" spans="2:2" x14ac:dyDescent="0.25">
      <c r="B1168" s="11"/>
    </row>
    <row r="1169" spans="2:2" x14ac:dyDescent="0.25">
      <c r="B1169" s="11"/>
    </row>
    <row r="1170" spans="2:2" x14ac:dyDescent="0.25">
      <c r="B1170" s="11"/>
    </row>
    <row r="1171" spans="2:2" x14ac:dyDescent="0.25">
      <c r="B1171" s="11"/>
    </row>
    <row r="1172" spans="2:2" x14ac:dyDescent="0.25">
      <c r="B1172" s="11"/>
    </row>
    <row r="1173" spans="2:2" x14ac:dyDescent="0.25">
      <c r="B1173" s="11"/>
    </row>
    <row r="1174" spans="2:2" x14ac:dyDescent="0.25">
      <c r="B1174" s="11"/>
    </row>
    <row r="1175" spans="2:2" x14ac:dyDescent="0.25">
      <c r="B1175" s="11"/>
    </row>
    <row r="1176" spans="2:2" x14ac:dyDescent="0.25">
      <c r="B1176" s="11"/>
    </row>
    <row r="1177" spans="2:2" x14ac:dyDescent="0.25">
      <c r="B1177" s="11"/>
    </row>
    <row r="1178" spans="2:2" x14ac:dyDescent="0.25">
      <c r="B1178" s="11"/>
    </row>
    <row r="1179" spans="2:2" x14ac:dyDescent="0.25">
      <c r="B1179" s="11"/>
    </row>
    <row r="1180" spans="2:2" x14ac:dyDescent="0.25">
      <c r="B1180" s="11"/>
    </row>
    <row r="1181" spans="2:2" x14ac:dyDescent="0.25">
      <c r="B1181" s="11"/>
    </row>
    <row r="1182" spans="2:2" x14ac:dyDescent="0.25">
      <c r="B1182" s="11"/>
    </row>
    <row r="1183" spans="2:2" x14ac:dyDescent="0.25">
      <c r="B1183" s="11"/>
    </row>
    <row r="1184" spans="2:2" x14ac:dyDescent="0.25">
      <c r="B1184" s="11"/>
    </row>
    <row r="1185" spans="2:2" x14ac:dyDescent="0.25">
      <c r="B1185" s="11"/>
    </row>
    <row r="1186" spans="2:2" x14ac:dyDescent="0.25">
      <c r="B1186" s="11"/>
    </row>
    <row r="1187" spans="2:2" x14ac:dyDescent="0.25">
      <c r="B1187" s="11"/>
    </row>
    <row r="1188" spans="2:2" x14ac:dyDescent="0.25">
      <c r="B1188" s="11"/>
    </row>
    <row r="1189" spans="2:2" x14ac:dyDescent="0.25">
      <c r="B1189" s="11"/>
    </row>
    <row r="1190" spans="2:2" x14ac:dyDescent="0.25">
      <c r="B1190" s="11"/>
    </row>
    <row r="1191" spans="2:2" x14ac:dyDescent="0.25">
      <c r="B1191" s="11"/>
    </row>
    <row r="1192" spans="2:2" x14ac:dyDescent="0.25">
      <c r="B1192" s="11"/>
    </row>
    <row r="1193" spans="2:2" x14ac:dyDescent="0.25">
      <c r="B1193" s="11"/>
    </row>
    <row r="1194" spans="2:2" x14ac:dyDescent="0.25">
      <c r="B1194" s="11"/>
    </row>
    <row r="1195" spans="2:2" x14ac:dyDescent="0.25">
      <c r="B1195" s="11"/>
    </row>
    <row r="1196" spans="2:2" x14ac:dyDescent="0.25">
      <c r="B1196" s="11"/>
    </row>
    <row r="1197" spans="2:2" x14ac:dyDescent="0.25">
      <c r="B1197" s="11"/>
    </row>
    <row r="1198" spans="2:2" x14ac:dyDescent="0.25">
      <c r="B1198" s="11"/>
    </row>
    <row r="1199" spans="2:2" x14ac:dyDescent="0.25">
      <c r="B1199" s="11"/>
    </row>
    <row r="1200" spans="2:2" x14ac:dyDescent="0.25">
      <c r="B1200" s="11"/>
    </row>
    <row r="1201" spans="2:2" x14ac:dyDescent="0.25">
      <c r="B1201" s="11"/>
    </row>
    <row r="1202" spans="2:2" x14ac:dyDescent="0.25">
      <c r="B1202" s="11"/>
    </row>
    <row r="1203" spans="2:2" x14ac:dyDescent="0.25">
      <c r="B1203" s="11"/>
    </row>
    <row r="1204" spans="2:2" x14ac:dyDescent="0.25">
      <c r="B1204" s="11"/>
    </row>
    <row r="1205" spans="2:2" x14ac:dyDescent="0.25">
      <c r="B1205" s="11"/>
    </row>
    <row r="1206" spans="2:2" x14ac:dyDescent="0.25">
      <c r="B1206" s="11"/>
    </row>
    <row r="1207" spans="2:2" x14ac:dyDescent="0.25">
      <c r="B1207" s="11"/>
    </row>
    <row r="1208" spans="2:2" x14ac:dyDescent="0.25">
      <c r="B1208" s="11"/>
    </row>
    <row r="1209" spans="2:2" x14ac:dyDescent="0.25">
      <c r="B1209" s="11"/>
    </row>
    <row r="1210" spans="2:2" x14ac:dyDescent="0.25">
      <c r="B1210" s="11"/>
    </row>
    <row r="1211" spans="2:2" x14ac:dyDescent="0.25">
      <c r="B1211" s="11"/>
    </row>
    <row r="1212" spans="2:2" x14ac:dyDescent="0.25">
      <c r="B1212" s="11"/>
    </row>
    <row r="1213" spans="2:2" x14ac:dyDescent="0.25">
      <c r="B1213" s="11"/>
    </row>
    <row r="1214" spans="2:2" x14ac:dyDescent="0.25">
      <c r="B1214" s="11"/>
    </row>
    <row r="1215" spans="2:2" x14ac:dyDescent="0.25">
      <c r="B1215" s="11"/>
    </row>
    <row r="1216" spans="2:2" x14ac:dyDescent="0.25">
      <c r="B1216" s="11"/>
    </row>
    <row r="1217" spans="2:2" x14ac:dyDescent="0.25">
      <c r="B1217" s="11"/>
    </row>
    <row r="1218" spans="2:2" x14ac:dyDescent="0.25">
      <c r="B1218" s="11"/>
    </row>
    <row r="1219" spans="2:2" x14ac:dyDescent="0.25">
      <c r="B1219" s="11"/>
    </row>
    <row r="1220" spans="2:2" x14ac:dyDescent="0.25">
      <c r="B1220" s="11"/>
    </row>
    <row r="1221" spans="2:2" x14ac:dyDescent="0.25">
      <c r="B1221" s="11"/>
    </row>
    <row r="1222" spans="2:2" x14ac:dyDescent="0.25">
      <c r="B1222" s="11"/>
    </row>
    <row r="1223" spans="2:2" x14ac:dyDescent="0.25">
      <c r="B1223" s="11"/>
    </row>
    <row r="1224" spans="2:2" x14ac:dyDescent="0.25">
      <c r="B1224" s="11"/>
    </row>
    <row r="1225" spans="2:2" x14ac:dyDescent="0.25">
      <c r="B1225" s="11"/>
    </row>
    <row r="1226" spans="2:2" x14ac:dyDescent="0.25">
      <c r="B1226" s="11"/>
    </row>
    <row r="1227" spans="2:2" x14ac:dyDescent="0.25">
      <c r="B1227" s="11"/>
    </row>
    <row r="1228" spans="2:2" x14ac:dyDescent="0.25">
      <c r="B1228" s="11"/>
    </row>
    <row r="1229" spans="2:2" x14ac:dyDescent="0.25">
      <c r="B1229" s="11"/>
    </row>
    <row r="1230" spans="2:2" x14ac:dyDescent="0.25">
      <c r="B1230" s="11"/>
    </row>
    <row r="1231" spans="2:2" x14ac:dyDescent="0.25">
      <c r="B1231" s="11"/>
    </row>
    <row r="1232" spans="2:2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</sheetData>
  <mergeCells count="1">
    <mergeCell ref="F2:H2"/>
  </mergeCells>
  <conditionalFormatting sqref="B3:B637">
    <cfRule type="expression" dxfId="7" priority="3">
      <formula>$A3=1</formula>
    </cfRule>
  </conditionalFormatting>
  <conditionalFormatting sqref="C3">
    <cfRule type="expression" dxfId="6" priority="2">
      <formula>$A3=1</formula>
    </cfRule>
  </conditionalFormatting>
  <conditionalFormatting sqref="C4:C637">
    <cfRule type="expression" dxfId="5" priority="1">
      <formula>$A4=1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Labeled Data</vt:lpstr>
      <vt:lpstr>Output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Ann Mina</dc:creator>
  <cp:lastModifiedBy>K Ann Mina</cp:lastModifiedBy>
  <dcterms:created xsi:type="dcterms:W3CDTF">2018-09-21T07:07:52Z</dcterms:created>
  <dcterms:modified xsi:type="dcterms:W3CDTF">2018-09-29T19:10:52Z</dcterms:modified>
</cp:coreProperties>
</file>